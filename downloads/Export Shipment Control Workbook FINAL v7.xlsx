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peopl\Downloads\"/>
    </mc:Choice>
  </mc:AlternateContent>
  <bookViews>
    <workbookView xWindow="0" yWindow="0" windowWidth="19200" windowHeight="8200" tabRatio="500" firstSheet="1" activeTab="3"/>
  </bookViews>
  <sheets>
    <sheet name="Shipment_Master" sheetId="1" r:id="rId1"/>
    <sheet name="Doc_Checklist" sheetId="2" r:id="rId2"/>
    <sheet name="Logistics_Log" sheetId="3" r:id="rId3"/>
    <sheet name="Manual_Check" sheetId="4" r:id="rId4"/>
    <sheet name="Exception_Log" sheetId="5" r:id="rId5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4" l="1"/>
  <c r="E26" i="4"/>
  <c r="E25" i="4"/>
  <c r="I104" i="4"/>
  <c r="K104" i="4" s="1"/>
  <c r="I103" i="4"/>
  <c r="J103" i="4" s="1"/>
  <c r="I102" i="4"/>
  <c r="J102" i="4" s="1"/>
  <c r="I101" i="4"/>
  <c r="K101" i="4" s="1"/>
  <c r="I100" i="4"/>
  <c r="K100" i="4" s="1"/>
  <c r="I99" i="4"/>
  <c r="J99" i="4" s="1"/>
  <c r="I98" i="4"/>
  <c r="K98" i="4" s="1"/>
  <c r="I97" i="4"/>
  <c r="K97" i="4" s="1"/>
  <c r="I96" i="4"/>
  <c r="K96" i="4" s="1"/>
  <c r="I95" i="4"/>
  <c r="J95" i="4" s="1"/>
  <c r="I94" i="4"/>
  <c r="K94" i="4" s="1"/>
  <c r="I93" i="4"/>
  <c r="K93" i="4" s="1"/>
  <c r="I92" i="4"/>
  <c r="K92" i="4" s="1"/>
  <c r="I91" i="4"/>
  <c r="J91" i="4" s="1"/>
  <c r="I90" i="4"/>
  <c r="K90" i="4" s="1"/>
  <c r="I89" i="4"/>
  <c r="K89" i="4" s="1"/>
  <c r="I88" i="4"/>
  <c r="K88" i="4" s="1"/>
  <c r="I87" i="4"/>
  <c r="K87" i="4" s="1"/>
  <c r="I86" i="4"/>
  <c r="K86" i="4" s="1"/>
  <c r="I85" i="4"/>
  <c r="K85" i="4" s="1"/>
  <c r="I84" i="4"/>
  <c r="K84" i="4" s="1"/>
  <c r="I83" i="4"/>
  <c r="J83" i="4" s="1"/>
  <c r="I82" i="4"/>
  <c r="K82" i="4" s="1"/>
  <c r="I81" i="4"/>
  <c r="K81" i="4" s="1"/>
  <c r="I80" i="4"/>
  <c r="J80" i="4" s="1"/>
  <c r="I79" i="4"/>
  <c r="K79" i="4" s="1"/>
  <c r="I78" i="4"/>
  <c r="K78" i="4" s="1"/>
  <c r="I77" i="4"/>
  <c r="K77" i="4" s="1"/>
  <c r="I76" i="4"/>
  <c r="J76" i="4" s="1"/>
  <c r="I75" i="4"/>
  <c r="K75" i="4" s="1"/>
  <c r="J74" i="4"/>
  <c r="I74" i="4"/>
  <c r="K74" i="4" s="1"/>
  <c r="I73" i="4"/>
  <c r="K73" i="4" s="1"/>
  <c r="I72" i="4"/>
  <c r="J72" i="4" s="1"/>
  <c r="I71" i="4"/>
  <c r="K71" i="4" s="1"/>
  <c r="I70" i="4"/>
  <c r="K70" i="4" s="1"/>
  <c r="I69" i="4"/>
  <c r="K69" i="4" s="1"/>
  <c r="I68" i="4"/>
  <c r="J68" i="4" s="1"/>
  <c r="I67" i="4"/>
  <c r="J67" i="4" s="1"/>
  <c r="I66" i="4"/>
  <c r="K66" i="4" s="1"/>
  <c r="I65" i="4"/>
  <c r="K65" i="4" s="1"/>
  <c r="I64" i="4"/>
  <c r="J64" i="4" s="1"/>
  <c r="I63" i="4"/>
  <c r="K63" i="4" s="1"/>
  <c r="I62" i="4"/>
  <c r="K62" i="4" s="1"/>
  <c r="I61" i="4"/>
  <c r="K61" i="4" s="1"/>
  <c r="I60" i="4"/>
  <c r="J60" i="4" s="1"/>
  <c r="I59" i="4"/>
  <c r="K59" i="4" s="1"/>
  <c r="I58" i="4"/>
  <c r="K58" i="4" s="1"/>
  <c r="I57" i="4"/>
  <c r="K57" i="4" s="1"/>
  <c r="I56" i="4"/>
  <c r="J56" i="4" s="1"/>
  <c r="I55" i="4"/>
  <c r="K55" i="4" s="1"/>
  <c r="I54" i="4"/>
  <c r="K54" i="4" s="1"/>
  <c r="I53" i="4"/>
  <c r="K53" i="4" s="1"/>
  <c r="I52" i="4"/>
  <c r="J52" i="4" s="1"/>
  <c r="I51" i="4"/>
  <c r="J51" i="4" s="1"/>
  <c r="I50" i="4"/>
  <c r="K50" i="4" s="1"/>
  <c r="I49" i="4"/>
  <c r="K49" i="4" s="1"/>
  <c r="I48" i="4"/>
  <c r="J48" i="4" s="1"/>
  <c r="I47" i="4"/>
  <c r="K47" i="4" s="1"/>
  <c r="I46" i="4"/>
  <c r="K46" i="4" s="1"/>
  <c r="I45" i="4"/>
  <c r="K45" i="4" s="1"/>
  <c r="I44" i="4"/>
  <c r="J44" i="4" s="1"/>
  <c r="I43" i="4"/>
  <c r="K43" i="4" s="1"/>
  <c r="I42" i="4"/>
  <c r="K42" i="4" s="1"/>
  <c r="I41" i="4"/>
  <c r="K41" i="4" s="1"/>
  <c r="I40" i="4"/>
  <c r="J40" i="4" s="1"/>
  <c r="I39" i="4"/>
  <c r="K39" i="4" s="1"/>
  <c r="J38" i="4"/>
  <c r="I38" i="4"/>
  <c r="K38" i="4" s="1"/>
  <c r="I37" i="4"/>
  <c r="K37" i="4" s="1"/>
  <c r="I36" i="4"/>
  <c r="J36" i="4" s="1"/>
  <c r="K35" i="4"/>
  <c r="I35" i="4"/>
  <c r="J35" i="4" s="1"/>
  <c r="I34" i="4"/>
  <c r="K34" i="4" s="1"/>
  <c r="I33" i="4"/>
  <c r="K33" i="4" s="1"/>
  <c r="I32" i="4"/>
  <c r="J32" i="4" s="1"/>
  <c r="J31" i="4"/>
  <c r="I31" i="4"/>
  <c r="K31" i="4" s="1"/>
  <c r="I30" i="4"/>
  <c r="K30" i="4" s="1"/>
  <c r="I29" i="4"/>
  <c r="K29" i="4" s="1"/>
  <c r="I28" i="4"/>
  <c r="J28" i="4" s="1"/>
  <c r="I27" i="4"/>
  <c r="K27" i="4" s="1"/>
  <c r="I26" i="4"/>
  <c r="K26" i="4" s="1"/>
  <c r="I25" i="4"/>
  <c r="K25" i="4" s="1"/>
  <c r="I24" i="4"/>
  <c r="J24" i="4" s="1"/>
  <c r="I23" i="4"/>
  <c r="K23" i="4" s="1"/>
  <c r="I22" i="4"/>
  <c r="K22" i="4" s="1"/>
  <c r="I21" i="4"/>
  <c r="K21" i="4" s="1"/>
  <c r="I20" i="4"/>
  <c r="J20" i="4" s="1"/>
  <c r="I19" i="4"/>
  <c r="J19" i="4" s="1"/>
  <c r="I18" i="4"/>
  <c r="K18" i="4" s="1"/>
  <c r="I16" i="4"/>
  <c r="K16" i="4" s="1"/>
  <c r="I15" i="4"/>
  <c r="J15" i="4" s="1"/>
  <c r="E15" i="4"/>
  <c r="H15" i="4" s="1"/>
  <c r="I14" i="4"/>
  <c r="K14" i="4" s="1"/>
  <c r="E14" i="4"/>
  <c r="H14" i="4" s="1"/>
  <c r="I13" i="4"/>
  <c r="K13" i="4" s="1"/>
  <c r="E13" i="4"/>
  <c r="H13" i="4" s="1"/>
  <c r="I12" i="4"/>
  <c r="K12" i="4" s="1"/>
  <c r="E12" i="4"/>
  <c r="H12" i="4" s="1"/>
  <c r="I11" i="4"/>
  <c r="K11" i="4" s="1"/>
  <c r="E11" i="4"/>
  <c r="H11" i="4" s="1"/>
  <c r="I10" i="4"/>
  <c r="K10" i="4" s="1"/>
  <c r="E10" i="4"/>
  <c r="H10" i="4" s="1"/>
  <c r="I9" i="4"/>
  <c r="K9" i="4" s="1"/>
  <c r="E9" i="4"/>
  <c r="H9" i="4" s="1"/>
  <c r="J8" i="4"/>
  <c r="I8" i="4"/>
  <c r="K8" i="4" s="1"/>
  <c r="E8" i="4"/>
  <c r="H8" i="4" s="1"/>
  <c r="I7" i="4"/>
  <c r="K7" i="4" s="1"/>
  <c r="E7" i="4"/>
  <c r="H7" i="4" s="1"/>
  <c r="I6" i="4"/>
  <c r="K6" i="4" s="1"/>
  <c r="E6" i="4"/>
  <c r="H6" i="4" s="1"/>
  <c r="I5" i="4"/>
  <c r="K5" i="4" s="1"/>
  <c r="E5" i="4"/>
  <c r="H5" i="4" s="1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I10" i="1" s="1"/>
  <c r="H9" i="3"/>
  <c r="H8" i="3"/>
  <c r="H7" i="3"/>
  <c r="H6" i="3"/>
  <c r="H5" i="3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7" i="1"/>
  <c r="I6" i="1"/>
  <c r="I5" i="1"/>
  <c r="K95" i="4" l="1"/>
  <c r="J98" i="4"/>
  <c r="J47" i="4"/>
  <c r="J62" i="4"/>
  <c r="I8" i="1"/>
  <c r="J7" i="4"/>
  <c r="J23" i="4"/>
  <c r="J30" i="4"/>
  <c r="J42" i="4"/>
  <c r="K51" i="4"/>
  <c r="J54" i="4"/>
  <c r="J63" i="4"/>
  <c r="J79" i="4"/>
  <c r="K102" i="4"/>
  <c r="J46" i="4"/>
  <c r="J58" i="4"/>
  <c r="K67" i="4"/>
  <c r="J70" i="4"/>
  <c r="K83" i="4"/>
  <c r="J90" i="4"/>
  <c r="K19" i="4"/>
  <c r="J22" i="4"/>
  <c r="J11" i="4"/>
  <c r="J12" i="4"/>
  <c r="J13" i="4"/>
  <c r="J18" i="4"/>
  <c r="J27" i="4"/>
  <c r="J34" i="4"/>
  <c r="J43" i="4"/>
  <c r="J50" i="4"/>
  <c r="J59" i="4"/>
  <c r="J66" i="4"/>
  <c r="J75" i="4"/>
  <c r="J82" i="4"/>
  <c r="J39" i="4"/>
  <c r="J55" i="4"/>
  <c r="J71" i="4"/>
  <c r="J78" i="4"/>
  <c r="K103" i="4"/>
  <c r="J26" i="4"/>
  <c r="K15" i="4"/>
  <c r="K20" i="4"/>
  <c r="K24" i="4"/>
  <c r="K28" i="4"/>
  <c r="K32" i="4"/>
  <c r="K36" i="4"/>
  <c r="K40" i="4"/>
  <c r="K44" i="4"/>
  <c r="K48" i="4"/>
  <c r="K52" i="4"/>
  <c r="K56" i="4"/>
  <c r="K60" i="4"/>
  <c r="K64" i="4"/>
  <c r="K68" i="4"/>
  <c r="K72" i="4"/>
  <c r="K76" i="4"/>
  <c r="K80" i="4"/>
  <c r="J87" i="4"/>
  <c r="K91" i="4"/>
  <c r="J94" i="4"/>
  <c r="J5" i="4"/>
  <c r="J9" i="4"/>
  <c r="J86" i="4"/>
  <c r="K99" i="4"/>
  <c r="I9" i="1"/>
  <c r="J6" i="4"/>
  <c r="J10" i="4"/>
  <c r="J14" i="4"/>
  <c r="J16" i="4"/>
  <c r="J21" i="4"/>
  <c r="J25" i="4"/>
  <c r="J29" i="4"/>
  <c r="J33" i="4"/>
  <c r="J37" i="4"/>
  <c r="J41" i="4"/>
  <c r="J45" i="4"/>
  <c r="J49" i="4"/>
  <c r="J53" i="4"/>
  <c r="J57" i="4"/>
  <c r="J61" i="4"/>
  <c r="J65" i="4"/>
  <c r="J69" i="4"/>
  <c r="J73" i="4"/>
  <c r="J77" i="4"/>
  <c r="J81" i="4"/>
  <c r="J85" i="4"/>
  <c r="J89" i="4"/>
  <c r="J93" i="4"/>
  <c r="J97" i="4"/>
  <c r="J101" i="4"/>
  <c r="J84" i="4"/>
  <c r="J88" i="4"/>
  <c r="J92" i="4"/>
  <c r="J96" i="4"/>
  <c r="J100" i="4"/>
  <c r="J104" i="4"/>
</calcChain>
</file>

<file path=xl/comments1.xml><?xml version="1.0" encoding="utf-8"?>
<comments xmlns="http://schemas.openxmlformats.org/spreadsheetml/2006/main">
  <authors>
    <author>Samim Craft</author>
  </authors>
  <commentList>
    <comment ref="A1" authorId="0" shapeId="0">
      <text>
        <r>
          <rPr>
            <sz val="10"/>
            <rFont val="Arial"/>
            <family val="2"/>
          </rPr>
          <t>Final validation revision: document-readiness logic includes COO and Shipping Bill/LEO; ETD/ETA converted to true Excel dates; quantity formatting standardized; VGM tolerance documented.</t>
        </r>
      </text>
    </comment>
  </commentList>
</comments>
</file>

<file path=xl/comments2.xml><?xml version="1.0" encoding="utf-8"?>
<comments xmlns="http://schemas.openxmlformats.org/spreadsheetml/2006/main">
  <authors>
    <author>Samim Craft</author>
  </authors>
  <commentList>
    <comment ref="E4" authorId="0" shapeId="0">
      <text>
        <r>
          <rPr>
            <sz val="10"/>
            <rFont val="Arial"/>
            <family val="2"/>
          </rPr>
          <t>COO rule: 'Not Required' or 'Received' is acceptable for audit readiness. 'Pending' keeps the shipment in Documents Pending.</t>
        </r>
      </text>
    </comment>
    <comment ref="F4" authorId="0" shapeId="0">
      <text>
        <r>
          <rPr>
            <sz val="10"/>
            <rFont val="Arial"/>
            <family val="2"/>
          </rPr>
          <t>Shipping Bill rule: only 'LEO Passed' qualifies as Ready for Audit. 'Filed' means the filing exists but final customs clearance has not yet been confirmed.</t>
        </r>
      </text>
    </comment>
  </commentList>
</comments>
</file>

<file path=xl/comments3.xml><?xml version="1.0" encoding="utf-8"?>
<comments xmlns="http://schemas.openxmlformats.org/spreadsheetml/2006/main">
  <authors>
    <author>Samim Craft</author>
  </authors>
  <commentList>
    <comment ref="H4" authorId="0" shapeId="0">
      <text>
        <r>
          <rPr>
            <sz val="10"/>
            <rFont val="Arial"/>
            <family val="2"/>
          </rPr>
          <t>Workbook control rule: flag VGM when ABS(VGM - Gross Weight) &gt; 10 kg. The 10 kg value is an internal review threshold and should not be described as a universal SOLAS regulatory tolerance.</t>
        </r>
      </text>
    </comment>
    <comment ref="H5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6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7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8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9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0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1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2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3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4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5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6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7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8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9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20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21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22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23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24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25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26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27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28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29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30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31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32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33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34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35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36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37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38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39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40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41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42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43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44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45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46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47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48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49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50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51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52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53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54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55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56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57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58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59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60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61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62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63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64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65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66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67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68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69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70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71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72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73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74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75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76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77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78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79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80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81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82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83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84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85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86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87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88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89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90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91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92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93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94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95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96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97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98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99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00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01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02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03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  <comment ref="H104" authorId="0" shapeId="0">
      <text>
        <r>
          <rPr>
            <sz val="10"/>
            <rFont val="Arial"/>
            <family val="2"/>
          </rPr>
          <t>Internal workbook control tolerance: 10 kg. This is not being represented as a universal regulatory requirement.</t>
        </r>
      </text>
    </comment>
  </commentList>
</comments>
</file>

<file path=xl/sharedStrings.xml><?xml version="1.0" encoding="utf-8"?>
<sst xmlns="http://schemas.openxmlformats.org/spreadsheetml/2006/main" count="253" uniqueCount="135">
  <si>
    <t>Export Shipment Control — Shipment Master</t>
  </si>
  <si>
    <t>Validation asset — sample data included. Replace sample rows with your own test shipment data.</t>
  </si>
  <si>
    <t>Column I is system-generated and protected. Use Column J for operational notes.  |  This workbook is a documentation cross-check aid, not a substitute for official CHA/customs clearance review. Verify all findings independently before shipment.</t>
  </si>
  <si>
    <t>Shipment ID</t>
  </si>
  <si>
    <t>Buyer Name</t>
  </si>
  <si>
    <t>Invoice No.</t>
  </si>
  <si>
    <t>Destination Port</t>
  </si>
  <si>
    <t>Shipping Line</t>
  </si>
  <si>
    <t>Target ETD</t>
  </si>
  <si>
    <t>Target ETA</t>
  </si>
  <si>
    <t>CHA / Forwarder</t>
  </si>
  <si>
    <t>Overall Status</t>
  </si>
  <si>
    <t>Operational Notes</t>
  </si>
  <si>
    <t>EXP-2026-001</t>
  </si>
  <si>
    <t>ABC Trading Co.</t>
  </si>
  <si>
    <t>INV/26-27/0104</t>
  </si>
  <si>
    <t>Port Klang (MYPKG)</t>
  </si>
  <si>
    <t>Maersk</t>
  </si>
  <si>
    <t>XYZ Logistics</t>
  </si>
  <si>
    <t>EXP-2026-002</t>
  </si>
  <si>
    <t>Delta Imports Ltd.</t>
  </si>
  <si>
    <t>INV/26-27/0105</t>
  </si>
  <si>
    <t>Singapore (SGSIN)</t>
  </si>
  <si>
    <t>MSC</t>
  </si>
  <si>
    <t>ABC Forwarders</t>
  </si>
  <si>
    <t>EXP-2026-003</t>
  </si>
  <si>
    <t>Gamma Industrial Co.</t>
  </si>
  <si>
    <t>INV/26-27/0106</t>
  </si>
  <si>
    <t>Jebel Ali (AEJEA)</t>
  </si>
  <si>
    <t>CMA CGM</t>
  </si>
  <si>
    <t>DEF Logistics</t>
  </si>
  <si>
    <t>EXP-TEST-004</t>
  </si>
  <si>
    <t>Global Homeware Ltd.</t>
  </si>
  <si>
    <t>INV-00457</t>
  </si>
  <si>
    <t>Port Klang</t>
  </si>
  <si>
    <t>ABC Logistics</t>
  </si>
  <si>
    <t>EXP-TEST-005</t>
  </si>
  <si>
    <t>Global Textiles Ltd.</t>
  </si>
  <si>
    <t>INV-00521</t>
  </si>
  <si>
    <t>Final validation test</t>
  </si>
  <si>
    <t>Samim Craft — Export Shipment Control Workbook (v4) | certcraft25@gmail.com | Free validation build — not for redistribution</t>
  </si>
  <si>
    <t>Export Shipment Control — Document Checklist</t>
  </si>
  <si>
    <t>Commercial Invoice</t>
  </si>
  <si>
    <t>Packing List</t>
  </si>
  <si>
    <t>Draft B/L</t>
  </si>
  <si>
    <t>Certificate of Origin</t>
  </si>
  <si>
    <t>Shipping Bill (ICEGATE)</t>
  </si>
  <si>
    <t>Cross-Check Status</t>
  </si>
  <si>
    <t>Final</t>
  </si>
  <si>
    <t>Approved</t>
  </si>
  <si>
    <t>Received</t>
  </si>
  <si>
    <t>LEO Passed</t>
  </si>
  <si>
    <t>Draft</t>
  </si>
  <si>
    <t>Pending</t>
  </si>
  <si>
    <t>Export Shipment Control — Container &amp; Weight Log</t>
  </si>
  <si>
    <t>Container No.</t>
  </si>
  <si>
    <t>Seal No.</t>
  </si>
  <si>
    <t>Package Count</t>
  </si>
  <si>
    <t>Gross Weight (KG)</t>
  </si>
  <si>
    <t>Net Weight (KG)</t>
  </si>
  <si>
    <t>VGM Declared (KG)</t>
  </si>
  <si>
    <t>Discrepancy Flag</t>
  </si>
  <si>
    <t>MSKU1234567</t>
  </si>
  <si>
    <t>SL-987654</t>
  </si>
  <si>
    <t>MSKU2233445</t>
  </si>
  <si>
    <t>SL-223344</t>
  </si>
  <si>
    <t>MSKU3344556</t>
  </si>
  <si>
    <t>SL-334455</t>
  </si>
  <si>
    <t>MSCU1234567</t>
  </si>
  <si>
    <t>SL987654</t>
  </si>
  <si>
    <t>MSCU7654321</t>
  </si>
  <si>
    <t>SL123789</t>
  </si>
  <si>
    <t>Export Shipment Control — Manual Cross-Check (Pain-Trigger)</t>
  </si>
  <si>
    <t>Sample shipment: EXP-2026-001 | Buyer: ABC Trading Co. | Date Checked: 2026-08-12</t>
  </si>
  <si>
    <t>Field Name</t>
  </si>
  <si>
    <t>Match / Review Status</t>
  </si>
  <si>
    <t>Risk Level</t>
  </si>
  <si>
    <t>Action Needed</t>
  </si>
  <si>
    <t>Document Pair (auto)</t>
  </si>
  <si>
    <t>Exception Description (auto)</t>
  </si>
  <si>
    <t>Suggested Severity (auto)</t>
  </si>
  <si>
    <t>Buyer / Consignee</t>
  </si>
  <si>
    <t>ABC Trading Ltd.</t>
  </si>
  <si>
    <t>High</t>
  </si>
  <si>
    <t>Total Quantity</t>
  </si>
  <si>
    <t>Critical</t>
  </si>
  <si>
    <t>HS Code</t>
  </si>
  <si>
    <t>6109.10.00</t>
  </si>
  <si>
    <t>6109.10</t>
  </si>
  <si>
    <t>Medium</t>
  </si>
  <si>
    <t>Global Textile Ltd.</t>
  </si>
  <si>
    <t>Port of Discharge</t>
  </si>
  <si>
    <t>Port Kelang</t>
  </si>
  <si>
    <t>Request a free sample/redacted shipment audit. No purchase is required for the validation test.</t>
  </si>
  <si>
    <t>VALIDATION NOTE</t>
  </si>
  <si>
    <t>This sheet demonstrates the manual cross-document checking that the future product may automate. It now ties each row to a Shipment ID, and flags rows needing an Exception_Log entry -- but does not auto-create that entry.</t>
  </si>
  <si>
    <t>⚡ Want to test the discrepancy-audit workflow?</t>
  </si>
  <si>
    <t>Export Shipment Control — Exception Log</t>
  </si>
  <si>
    <t>Exception ID</t>
  </si>
  <si>
    <t>Document Pair</t>
  </si>
  <si>
    <t>Mismatched Field</t>
  </si>
  <si>
    <t>Description</t>
  </si>
  <si>
    <t>Severity</t>
  </si>
  <si>
    <t>Action Owner</t>
  </si>
  <si>
    <t>Resolution Status</t>
  </si>
  <si>
    <t>Resolution Notes</t>
  </si>
  <si>
    <t>EX-101</t>
  </si>
  <si>
    <t>Packing List vs Draft B/L</t>
  </si>
  <si>
    <t>Packing List: 1,000 pcs; Draft B/L: 950 pcs</t>
  </si>
  <si>
    <t>🔴 Critical - Review Required</t>
  </si>
  <si>
    <t>Forwarder</t>
  </si>
  <si>
    <t>Open</t>
  </si>
  <si>
    <t>EX-102</t>
  </si>
  <si>
    <t>Commercial Invoice vs Draft B/L</t>
  </si>
  <si>
    <t>Invoice: ABC Trading Co.; B/L: ABC Trading Ltd.</t>
  </si>
  <si>
    <t>🟡 Warning - Review</t>
  </si>
  <si>
    <t>Documentation</t>
  </si>
  <si>
    <t>Pending Revision</t>
  </si>
  <si>
    <t>EX-103</t>
  </si>
  <si>
    <t>Invoice/PL: 6109.10.00; B/L: 6109.10 — review classification/format</t>
  </si>
  <si>
    <t>EX-104</t>
  </si>
  <si>
    <t>Invoice: Port Klang; B/L: Port Kelang — review naming/port reference</t>
  </si>
  <si>
    <t>EX-105</t>
  </si>
  <si>
    <t>Packing List vs Logistics Log</t>
  </si>
  <si>
    <t>Gross vs Net Weight</t>
  </si>
  <si>
    <t>Gross weight: 7,000 kg; Net weight: 7,500 kg</t>
  </si>
  <si>
    <t>EXP-TEST-006</t>
  </si>
  <si>
    <t>Sunrise Apparel Inc.</t>
  </si>
  <si>
    <t>INV-00610</t>
  </si>
  <si>
    <t>Hamburg</t>
  </si>
  <si>
    <t>Hapag-Lloyd</t>
  </si>
  <si>
    <t>Sea Hawk Lines</t>
  </si>
  <si>
    <t>Not Required</t>
  </si>
  <si>
    <t>HLBU9988776</t>
  </si>
  <si>
    <t>SL112233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</si>
</sst>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d\-mmm\-yy"/>
  </numFmts>
  <fonts count="11">
    <font>
      <sz val="11"/>
      <color theme="1"/>
      <name val="Calibri"/>
      <family val="2"/>
      <charset val="1"/>
    </font>
    <font>
      <b/>
      <sz val="14"/>
      <color rgb="FFFFFFFF"/>
      <name val="Aptos"/>
      <charset val="1"/>
    </font>
    <font>
      <i/>
      <sz val="9"/>
      <name val="Aptos"/>
      <charset val="1"/>
    </font>
    <font>
      <b/>
      <sz val="10"/>
      <color rgb="FFFFFFFF"/>
      <name val="Aptos"/>
      <charset val="1"/>
    </font>
    <font>
      <sz val="10"/>
      <name val="Aptos"/>
      <charset val="1"/>
    </font>
    <font>
      <i/>
      <sz val="9"/>
      <color rgb="FF808080"/>
      <name val="Cambria"/>
      <charset val="1"/>
    </font>
    <font>
      <sz val="10"/>
      <name val="Arial"/>
      <family val="2"/>
    </font>
    <font>
      <b/>
      <sz val="10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b/>
      <sz val="11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0" borderId="1" xfId="0" applyFont="1" applyBorder="1" applyAlignment="1" applyProtection="1">
      <alignment vertical="center" wrapText="1"/>
      <protection locked="0"/>
    </xf>
    <xf numFmtId="0" fontId="7" fillId="0" borderId="0" xfId="0" applyFont="1" applyBorder="1" applyAlignment="1"/>
    <xf numFmtId="0" fontId="5" fillId="0" borderId="0" xfId="0" applyFont="1" applyBorder="1" applyAlignment="1"/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/>
    <xf numFmtId="0" fontId="1" fillId="2" borderId="0" xfId="0" applyFont="1" applyFill="1" applyBorder="1" applyAlignment="1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vertical="center" wrapText="1"/>
      <protection locked="0"/>
    </xf>
    <xf numFmtId="164" fontId="4" fillId="0" borderId="1" xfId="0" applyNumberFormat="1" applyFont="1" applyBorder="1" applyAlignment="1" applyProtection="1">
      <alignment vertical="center" wrapText="1"/>
      <protection locked="0"/>
    </xf>
    <xf numFmtId="0" fontId="4" fillId="0" borderId="1" xfId="0" applyFont="1" applyBorder="1" applyAlignment="1">
      <alignment vertical="center" wrapText="1"/>
    </xf>
    <xf numFmtId="165" fontId="0" fillId="0" borderId="0" xfId="0" applyNumberFormat="1" applyAlignment="1"/>
    <xf numFmtId="3" fontId="4" fillId="0" borderId="1" xfId="0" applyNumberFormat="1" applyFont="1" applyBorder="1" applyAlignment="1" applyProtection="1">
      <alignment vertical="center" wrapText="1"/>
      <protection locked="0"/>
    </xf>
    <xf numFmtId="0" fontId="0" fillId="0" borderId="0" xfId="0" applyFont="1" applyAlignment="1">
      <alignment vertical="center" wrapText="1"/>
    </xf>
    <xf numFmtId="0" fontId="3" fillId="2" borderId="0" xfId="0" applyFont="1" applyFill="1" applyAlignment="1"/>
    <xf numFmtId="0" fontId="8" fillId="2" borderId="1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1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06"/>
  <sheetViews>
    <sheetView topLeftCell="C1" zoomScaleNormal="100" workbookViewId="0">
      <pane ySplit="4" topLeftCell="A7" activePane="bottomLeft" state="frozen"/>
      <selection pane="bottomLeft" activeCell="H13" sqref="H13"/>
    </sheetView>
  </sheetViews>
  <sheetFormatPr defaultColWidth="8.6328125" defaultRowHeight="14.5"/>
  <cols>
    <col min="1" max="1" width="17" style="7" customWidth="1"/>
    <col min="2" max="2" width="28" style="7" customWidth="1"/>
    <col min="3" max="3" width="20" style="7" customWidth="1"/>
    <col min="4" max="4" width="22" style="7" customWidth="1"/>
    <col min="5" max="5" width="20" style="7" customWidth="1"/>
    <col min="6" max="7" width="14" style="7" customWidth="1"/>
    <col min="8" max="8" width="26" style="7" customWidth="1"/>
    <col min="9" max="9" width="24" style="7" customWidth="1"/>
    <col min="10" max="10" width="30" style="7" customWidth="1"/>
  </cols>
  <sheetData>
    <row r="1" spans="1:10" ht="17.2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42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ht="15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</row>
    <row r="5" spans="1:10" ht="15" customHeight="1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10">
        <v>46254</v>
      </c>
      <c r="G5" s="10">
        <v>46267</v>
      </c>
      <c r="H5" s="9" t="s">
        <v>18</v>
      </c>
      <c r="I5" s="11" t="str">
        <f>IF(A5="","",IF(COUNTIFS(Exception_Log!$B$5:$B$104,A5,Exception_Log!$H$5:$H$104,"&lt;&gt;Closed",Exception_Log!$F$5:$F$104,"*Critical*")&gt;0,"Audit - Issues Found",IF(COUNTIFS(Logistics_Log!$A$5:$A$104,A5,Logistics_Log!$H$5:$H$104,"🔴*")&gt;0,"Audit - Issues Found",IF(COUNTIFS(Manual_Check!$G$5:$G$104,A5,Manual_Check!$E$5:$E$104,"*Mismatch*")&gt;0,"Audit - Issues Found",IF(IFERROR(VLOOKUP(A5,Doc_Checklist!$A$5:$G$104,7,FALSE()),"")="Ready for Audit","Ready for Audit","Documents Pending")))))</f>
        <v>Audit - Issues Found</v>
      </c>
      <c r="J5" s="9"/>
    </row>
    <row r="6" spans="1:10" ht="15" customHeight="1">
      <c r="A6" s="9" t="s">
        <v>19</v>
      </c>
      <c r="B6" s="9" t="s">
        <v>20</v>
      </c>
      <c r="C6" s="9" t="s">
        <v>21</v>
      </c>
      <c r="D6" s="9" t="s">
        <v>22</v>
      </c>
      <c r="E6" s="9" t="s">
        <v>23</v>
      </c>
      <c r="F6" s="10">
        <v>46256</v>
      </c>
      <c r="G6" s="10">
        <v>46269</v>
      </c>
      <c r="H6" s="9" t="s">
        <v>24</v>
      </c>
      <c r="I6" s="11" t="str">
        <f>IF(A6="","",IF(COUNTIFS(Exception_Log!$B$5:$B$104,A6,Exception_Log!$H$5:$H$104,"&lt;&gt;Closed",Exception_Log!$F$5:$F$104,"*Critical*")&gt;0,"Audit - Issues Found",IF(COUNTIFS(Logistics_Log!$A$5:$A$104,A6,Logistics_Log!$H$5:$H$104,"🔴*")&gt;0,"Audit - Issues Found",IF(COUNTIFS(Manual_Check!$G$5:$G$104,A6,Manual_Check!$E$5:$E$104,"*Mismatch*")&gt;0,"Audit - Issues Found",IF(IFERROR(VLOOKUP(A6,Doc_Checklist!$A$5:$G$104,7,FALSE()),"")="Ready for Audit","Ready for Audit","Documents Pending")))))</f>
        <v>Ready for Audit</v>
      </c>
      <c r="J6" s="9"/>
    </row>
    <row r="7" spans="1:10" ht="15" customHeight="1">
      <c r="A7" s="9" t="s">
        <v>25</v>
      </c>
      <c r="B7" s="9" t="s">
        <v>26</v>
      </c>
      <c r="C7" s="9" t="s">
        <v>27</v>
      </c>
      <c r="D7" s="9" t="s">
        <v>28</v>
      </c>
      <c r="E7" s="9" t="s">
        <v>29</v>
      </c>
      <c r="F7" s="10">
        <v>46259</v>
      </c>
      <c r="G7" s="10">
        <v>46275</v>
      </c>
      <c r="H7" s="9" t="s">
        <v>30</v>
      </c>
      <c r="I7" s="11" t="str">
        <f>IF(A7="","",IF(COUNTIFS(Exception_Log!$B$5:$B$104,A7,Exception_Log!$H$5:$H$104,"&lt;&gt;Closed",Exception_Log!$F$5:$F$104,"*Critical*")&gt;0,"Audit - Issues Found",IF(COUNTIFS(Logistics_Log!$A$5:$A$104,A7,Logistics_Log!$H$5:$H$104,"🔴*")&gt;0,"Audit - Issues Found",IF(COUNTIFS(Manual_Check!$G$5:$G$104,A7,Manual_Check!$E$5:$E$104,"*Mismatch*")&gt;0,"Audit - Issues Found",IF(IFERROR(VLOOKUP(A7,Doc_Checklist!$A$5:$G$104,7,FALSE()),"")="Ready for Audit","Ready for Audit","Documents Pending")))))</f>
        <v>Audit - Issues Found</v>
      </c>
      <c r="J7" s="9"/>
    </row>
    <row r="8" spans="1:10" ht="15" customHeight="1">
      <c r="A8" s="9" t="s">
        <v>31</v>
      </c>
      <c r="B8" s="9" t="s">
        <v>32</v>
      </c>
      <c r="C8" s="9" t="s">
        <v>33</v>
      </c>
      <c r="D8" s="9" t="s">
        <v>34</v>
      </c>
      <c r="E8" s="9" t="s">
        <v>23</v>
      </c>
      <c r="F8" s="10">
        <v>46280</v>
      </c>
      <c r="G8" s="10">
        <v>46290</v>
      </c>
      <c r="H8" s="9" t="s">
        <v>35</v>
      </c>
      <c r="I8" s="11" t="str">
        <f>IF(A8="","",IF(COUNTIFS(Exception_Log!$B$5:$B$104,A8,Exception_Log!$H$5:$H$104,"&lt;&gt;Closed",Exception_Log!$F$5:$F$104,"*Critical*")&gt;0,"Audit - Issues Found",IF(COUNTIFS(Logistics_Log!$A$5:$A$104,A8,Logistics_Log!$H$5:$H$104,"🔴*")&gt;0,"Audit - Issues Found",IF(COUNTIFS(Manual_Check!$G$5:$G$104,A8,Manual_Check!$E$5:$E$104,"*Mismatch*")&gt;0,"Audit - Issues Found",IF(IFERROR(VLOOKUP(A8,Doc_Checklist!$A$5:$G$104,7,FALSE()),"")="Ready for Audit","Ready for Audit","Documents Pending")))))</f>
        <v>Ready for Audit</v>
      </c>
      <c r="J8" s="9"/>
    </row>
    <row r="9" spans="1:10" ht="15" customHeight="1">
      <c r="A9" s="7" t="s">
        <v>36</v>
      </c>
      <c r="B9" s="7" t="s">
        <v>37</v>
      </c>
      <c r="C9" s="7" t="s">
        <v>38</v>
      </c>
      <c r="D9" s="7" t="s">
        <v>34</v>
      </c>
      <c r="E9" s="7" t="s">
        <v>17</v>
      </c>
      <c r="F9" s="12">
        <v>46285</v>
      </c>
      <c r="G9" s="12">
        <v>46295</v>
      </c>
      <c r="H9" s="7" t="s">
        <v>18</v>
      </c>
      <c r="I9" s="11" t="str">
        <f>IF(A9="","",IF(COUNTIFS(Exception_Log!$B$5:$B$104,A9,Exception_Log!$H$5:$H$104,"&lt;&gt;Closed",Exception_Log!$F$5:$F$104,"*Critical*")&gt;0,"Audit - Issues Found",IF(COUNTIFS(Logistics_Log!$A$5:$A$104,A9,Logistics_Log!$H$5:$H$104,"🔴*")&gt;0,"Audit - Issues Found",IF(COUNTIFS(Manual_Check!$G$5:$G$104,A9,Manual_Check!$E$5:$E$104,"*Mismatch*")&gt;0,"Audit - Issues Found",IF(IFERROR(VLOOKUP(A9,Doc_Checklist!$A$5:$G$104,7,FALSE()),"")="Ready for Audit","Ready for Audit","Documents Pending")))))</f>
        <v>Audit - Issues Found</v>
      </c>
      <c r="J9" s="7" t="s">
        <v>39</v>
      </c>
    </row>
    <row r="10" spans="1:10" ht="15" customHeight="1">
      <c r="A10" t="s">
        <v>126</v>
      </c>
      <c r="B10" t="s">
        <v>127</v>
      </c>
      <c r="C10" t="s">
        <v>128</v>
      </c>
      <c r="D10" t="s">
        <v>129</v>
      </c>
      <c r="E10" t="s">
        <v>130</v>
      </c>
      <c r="F10" s="20">
        <v>46293</v>
      </c>
      <c r="G10" s="20">
        <v>46313</v>
      </c>
      <c r="H10" t="s">
        <v>131</v>
      </c>
      <c r="I10" s="11" t="str">
        <f>IF(A10="","",IF(COUNTIFS(Exception_Log!$B$5:$B$104,A10,Exception_Log!$H$5:$H$104,"&lt;&gt;Closed",Exception_Log!$F$5:$F$104,"*Critical*")&gt;0,"Audit - Issues Found",IF(COUNTIFS(Logistics_Log!$A$5:$A$104,A10,Logistics_Log!$H$5:$H$104,"🔴*")&gt;0,"Audit - Issues Found",IF(COUNTIFS(Manual_Check!$G$5:$G$104,A10,Manual_Check!$E$5:$E$104,"*Mismatch*")&gt;0,"Audit - Issues Found",IF(IFERROR(VLOOKUP(A10,Doc_Checklist!$A$5:$G$104,7,FALSE()),"")="Ready for Audit","Ready for Audit","Documents Pending")))))</f>
        <v>Ready for Audit</v>
      </c>
      <c r="J10" s="9"/>
    </row>
    <row r="11" spans="1:10" ht="15" customHeight="1">
      <c r="A11" s="9"/>
      <c r="B11" s="9"/>
      <c r="C11" s="9"/>
      <c r="D11" s="9"/>
      <c r="E11" s="9"/>
      <c r="F11" s="9"/>
      <c r="G11" s="9"/>
      <c r="H11" s="9"/>
      <c r="I11" s="11" t="str">
        <f>IF(A11="","",IF(COUNTIFS(Exception_Log!$B$5:$B$104,A11,Exception_Log!$H$5:$H$104,"&lt;&gt;Closed",Exception_Log!$F$5:$F$104,"*Critical*")&gt;0,"Audit - Issues Found",IF(COUNTIFS(Logistics_Log!$A$5:$A$104,A11,Logistics_Log!$H$5:$H$104,"🔴*")&gt;0,"Audit - Issues Found",IF(COUNTIFS(Manual_Check!$G$5:$G$104,A11,Manual_Check!$E$5:$E$104,"*Mismatch*")&gt;0,"Audit - Issues Found",IF(IFERROR(VLOOKUP(A11,Doc_Checklist!$A$5:$G$104,7,FALSE()),"")="Ready for Audit","Ready for Audit","Documents Pending")))))</f>
        <v/>
      </c>
      <c r="J11" s="9"/>
    </row>
    <row r="12" spans="1:10" ht="15" customHeight="1">
      <c r="A12" s="9"/>
      <c r="B12" s="9"/>
      <c r="C12" s="9"/>
      <c r="D12" s="9"/>
      <c r="E12" s="9"/>
      <c r="F12" s="9"/>
      <c r="G12" s="9"/>
      <c r="H12" s="9"/>
      <c r="I12" s="11" t="str">
        <f>IF(A12="","",IF(COUNTIFS(Exception_Log!$B$5:$B$104,A12,Exception_Log!$H$5:$H$104,"&lt;&gt;Closed",Exception_Log!$F$5:$F$104,"*Critical*")&gt;0,"Audit - Issues Found",IF(COUNTIFS(Logistics_Log!$A$5:$A$104,A12,Logistics_Log!$H$5:$H$104,"🔴*")&gt;0,"Audit - Issues Found",IF(COUNTIFS(Manual_Check!$G$5:$G$104,A12,Manual_Check!$E$5:$E$104,"*Mismatch*")&gt;0,"Audit - Issues Found",IF(IFERROR(VLOOKUP(A12,Doc_Checklist!$A$5:$G$104,7,FALSE()),"")="Ready for Audit","Ready for Audit","Documents Pending")))))</f>
        <v/>
      </c>
      <c r="J12" s="9"/>
    </row>
    <row r="13" spans="1:10" ht="15" customHeight="1">
      <c r="A13" s="9"/>
      <c r="B13" s="9"/>
      <c r="C13" s="9"/>
      <c r="D13" s="9"/>
      <c r="E13" s="9"/>
      <c r="F13" s="9"/>
      <c r="G13" s="9"/>
      <c r="H13" s="9"/>
      <c r="I13" s="11" t="str">
        <f>IF(A13="","",IF(COUNTIFS(Exception_Log!$B$5:$B$104,A13,Exception_Log!$H$5:$H$104,"&lt;&gt;Closed",Exception_Log!$F$5:$F$104,"*Critical*")&gt;0,"Audit - Issues Found",IF(COUNTIFS(Logistics_Log!$A$5:$A$104,A13,Logistics_Log!$H$5:$H$104,"🔴*")&gt;0,"Audit - Issues Found",IF(COUNTIFS(Manual_Check!$G$5:$G$104,A13,Manual_Check!$E$5:$E$104,"*Mismatch*")&gt;0,"Audit - Issues Found",IF(IFERROR(VLOOKUP(A13,Doc_Checklist!$A$5:$G$104,7,FALSE()),"")="Ready for Audit","Ready for Audit","Documents Pending")))))</f>
        <v/>
      </c>
      <c r="J13" s="9"/>
    </row>
    <row r="14" spans="1:10" ht="15" customHeight="1">
      <c r="A14" s="9"/>
      <c r="B14" s="9"/>
      <c r="C14" s="9"/>
      <c r="D14" s="9"/>
      <c r="E14" s="9"/>
      <c r="F14" s="9"/>
      <c r="G14" s="9"/>
      <c r="H14" s="9"/>
      <c r="I14" s="11" t="str">
        <f>IF(A14="","",IF(COUNTIFS(Exception_Log!$B$5:$B$104,A14,Exception_Log!$H$5:$H$104,"&lt;&gt;Closed",Exception_Log!$F$5:$F$104,"*Critical*")&gt;0,"Audit - Issues Found",IF(COUNTIFS(Logistics_Log!$A$5:$A$104,A14,Logistics_Log!$H$5:$H$104,"🔴*")&gt;0,"Audit - Issues Found",IF(COUNTIFS(Manual_Check!$G$5:$G$104,A14,Manual_Check!$E$5:$E$104,"*Mismatch*")&gt;0,"Audit - Issues Found",IF(IFERROR(VLOOKUP(A14,Doc_Checklist!$A$5:$G$104,7,FALSE()),"")="Ready for Audit","Ready for Audit","Documents Pending")))))</f>
        <v/>
      </c>
      <c r="J14" s="9"/>
    </row>
    <row r="15" spans="1:10" ht="15" customHeight="1">
      <c r="A15" s="9"/>
      <c r="B15" s="9"/>
      <c r="C15" s="9"/>
      <c r="D15" s="9"/>
      <c r="E15" s="9"/>
      <c r="F15" s="9"/>
      <c r="G15" s="9"/>
      <c r="H15" s="9"/>
      <c r="I15" s="11" t="str">
        <f>IF(A15="","",IF(COUNTIFS(Exception_Log!$B$5:$B$104,A15,Exception_Log!$H$5:$H$104,"&lt;&gt;Closed",Exception_Log!$F$5:$F$104,"*Critical*")&gt;0,"Audit - Issues Found",IF(COUNTIFS(Logistics_Log!$A$5:$A$104,A15,Logistics_Log!$H$5:$H$104,"🔴*")&gt;0,"Audit - Issues Found",IF(COUNTIFS(Manual_Check!$G$5:$G$104,A15,Manual_Check!$E$5:$E$104,"*Mismatch*")&gt;0,"Audit - Issues Found",IF(IFERROR(VLOOKUP(A15,Doc_Checklist!$A$5:$G$104,7,FALSE()),"")="Ready for Audit","Ready for Audit","Documents Pending")))))</f>
        <v/>
      </c>
      <c r="J15" s="9"/>
    </row>
    <row r="16" spans="1:10" ht="15" customHeight="1">
      <c r="A16" s="9"/>
      <c r="B16" s="9"/>
      <c r="C16" s="9"/>
      <c r="D16" s="9"/>
      <c r="E16" s="9"/>
      <c r="F16" s="9"/>
      <c r="G16" s="9"/>
      <c r="H16" s="9"/>
      <c r="I16" s="11" t="str">
        <f>IF(A16="","",IF(COUNTIFS(Exception_Log!$B$5:$B$104,A16,Exception_Log!$H$5:$H$104,"&lt;&gt;Closed",Exception_Log!$F$5:$F$104,"*Critical*")&gt;0,"Audit - Issues Found",IF(COUNTIFS(Logistics_Log!$A$5:$A$104,A16,Logistics_Log!$H$5:$H$104,"🔴*")&gt;0,"Audit - Issues Found",IF(COUNTIFS(Manual_Check!$G$5:$G$104,A16,Manual_Check!$E$5:$E$104,"*Mismatch*")&gt;0,"Audit - Issues Found",IF(IFERROR(VLOOKUP(A16,Doc_Checklist!$A$5:$G$104,7,FALSE()),"")="Ready for Audit","Ready for Audit","Documents Pending")))))</f>
        <v/>
      </c>
      <c r="J16" s="9"/>
    </row>
    <row r="17" spans="1:10" ht="15" customHeight="1">
      <c r="A17" s="9"/>
      <c r="B17" s="9"/>
      <c r="C17" s="9"/>
      <c r="D17" s="9"/>
      <c r="E17" s="9"/>
      <c r="F17" s="9"/>
      <c r="G17" s="9"/>
      <c r="H17" s="9"/>
      <c r="I17" s="11" t="str">
        <f>IF(A17="","",IF(COUNTIFS(Exception_Log!$B$5:$B$104,A17,Exception_Log!$H$5:$H$104,"&lt;&gt;Closed",Exception_Log!$F$5:$F$104,"*Critical*")&gt;0,"Audit - Issues Found",IF(COUNTIFS(Logistics_Log!$A$5:$A$104,A17,Logistics_Log!$H$5:$H$104,"🔴*")&gt;0,"Audit - Issues Found",IF(COUNTIFS(Manual_Check!$G$5:$G$104,A17,Manual_Check!$E$5:$E$104,"*Mismatch*")&gt;0,"Audit - Issues Found",IF(IFERROR(VLOOKUP(A17,Doc_Checklist!$A$5:$G$104,7,FALSE()),"")="Ready for Audit","Ready for Audit","Documents Pending")))))</f>
        <v/>
      </c>
      <c r="J17" s="9"/>
    </row>
    <row r="18" spans="1:10" ht="15" customHeight="1">
      <c r="A18" s="9"/>
      <c r="B18" s="9"/>
      <c r="C18" s="9"/>
      <c r="D18" s="9"/>
      <c r="E18" s="9"/>
      <c r="F18" s="9"/>
      <c r="G18" s="9"/>
      <c r="H18" s="9"/>
      <c r="I18" s="11" t="str">
        <f>IF(A18="","",IF(COUNTIFS(Exception_Log!$B$5:$B$104,A18,Exception_Log!$H$5:$H$104,"&lt;&gt;Closed",Exception_Log!$F$5:$F$104,"*Critical*")&gt;0,"Audit - Issues Found",IF(COUNTIFS(Logistics_Log!$A$5:$A$104,A18,Logistics_Log!$H$5:$H$104,"🔴*")&gt;0,"Audit - Issues Found",IF(COUNTIFS(Manual_Check!$G$5:$G$104,A18,Manual_Check!$E$5:$E$104,"*Mismatch*")&gt;0,"Audit - Issues Found",IF(IFERROR(VLOOKUP(A18,Doc_Checklist!$A$5:$G$104,7,FALSE()),"")="Ready for Audit","Ready for Audit","Documents Pending")))))</f>
        <v/>
      </c>
      <c r="J18" s="9"/>
    </row>
    <row r="19" spans="1:10" ht="15" customHeight="1">
      <c r="A19" s="9"/>
      <c r="B19" s="9"/>
      <c r="C19" s="9"/>
      <c r="D19" s="9"/>
      <c r="E19" s="9"/>
      <c r="F19" s="9"/>
      <c r="G19" s="9"/>
      <c r="H19" s="9"/>
      <c r="I19" s="11" t="str">
        <f>IF(A19="","",IF(COUNTIFS(Exception_Log!$B$5:$B$104,A19,Exception_Log!$H$5:$H$104,"&lt;&gt;Closed",Exception_Log!$F$5:$F$104,"*Critical*")&gt;0,"Audit - Issues Found",IF(COUNTIFS(Logistics_Log!$A$5:$A$104,A19,Logistics_Log!$H$5:$H$104,"🔴*")&gt;0,"Audit - Issues Found",IF(COUNTIFS(Manual_Check!$G$5:$G$104,A19,Manual_Check!$E$5:$E$104,"*Mismatch*")&gt;0,"Audit - Issues Found",IF(IFERROR(VLOOKUP(A19,Doc_Checklist!$A$5:$G$104,7,FALSE()),"")="Ready for Audit","Ready for Audit","Documents Pending")))))</f>
        <v/>
      </c>
      <c r="J19" s="9"/>
    </row>
    <row r="20" spans="1:10" ht="15" customHeight="1">
      <c r="A20" s="9"/>
      <c r="B20" s="9"/>
      <c r="C20" s="9"/>
      <c r="D20" s="9"/>
      <c r="E20" s="9"/>
      <c r="F20" s="9"/>
      <c r="G20" s="9"/>
      <c r="H20" s="9"/>
      <c r="I20" s="11" t="str">
        <f>IF(A20="","",IF(COUNTIFS(Exception_Log!$B$5:$B$104,A20,Exception_Log!$H$5:$H$104,"&lt;&gt;Closed",Exception_Log!$F$5:$F$104,"*Critical*")&gt;0,"Audit - Issues Found",IF(COUNTIFS(Logistics_Log!$A$5:$A$104,A20,Logistics_Log!$H$5:$H$104,"🔴*")&gt;0,"Audit - Issues Found",IF(COUNTIFS(Manual_Check!$G$5:$G$104,A20,Manual_Check!$E$5:$E$104,"*Mismatch*")&gt;0,"Audit - Issues Found",IF(IFERROR(VLOOKUP(A20,Doc_Checklist!$A$5:$G$104,7,FALSE()),"")="Ready for Audit","Ready for Audit","Documents Pending")))))</f>
        <v/>
      </c>
      <c r="J20" s="9"/>
    </row>
    <row r="21" spans="1:10" ht="15" customHeight="1">
      <c r="A21" s="9"/>
      <c r="B21" s="9"/>
      <c r="C21" s="9"/>
      <c r="D21" s="9"/>
      <c r="E21" s="9"/>
      <c r="F21" s="9"/>
      <c r="G21" s="9"/>
      <c r="H21" s="9"/>
      <c r="I21" s="11" t="str">
        <f>IF(A21="","",IF(COUNTIFS(Exception_Log!$B$5:$B$104,A21,Exception_Log!$H$5:$H$104,"&lt;&gt;Closed",Exception_Log!$F$5:$F$104,"*Critical*")&gt;0,"Audit - Issues Found",IF(COUNTIFS(Logistics_Log!$A$5:$A$104,A21,Logistics_Log!$H$5:$H$104,"🔴*")&gt;0,"Audit - Issues Found",IF(COUNTIFS(Manual_Check!$G$5:$G$104,A21,Manual_Check!$E$5:$E$104,"*Mismatch*")&gt;0,"Audit - Issues Found",IF(IFERROR(VLOOKUP(A21,Doc_Checklist!$A$5:$G$104,7,FALSE()),"")="Ready for Audit","Ready for Audit","Documents Pending")))))</f>
        <v/>
      </c>
      <c r="J21" s="9"/>
    </row>
    <row r="22" spans="1:10" ht="15" customHeight="1">
      <c r="A22" s="9"/>
      <c r="B22" s="9"/>
      <c r="C22" s="9"/>
      <c r="D22" s="9"/>
      <c r="E22" s="9"/>
      <c r="F22" s="9"/>
      <c r="G22" s="9"/>
      <c r="H22" s="9"/>
      <c r="I22" s="11" t="str">
        <f>IF(A22="","",IF(COUNTIFS(Exception_Log!$B$5:$B$104,A22,Exception_Log!$H$5:$H$104,"&lt;&gt;Closed",Exception_Log!$F$5:$F$104,"*Critical*")&gt;0,"Audit - Issues Found",IF(COUNTIFS(Logistics_Log!$A$5:$A$104,A22,Logistics_Log!$H$5:$H$104,"🔴*")&gt;0,"Audit - Issues Found",IF(COUNTIFS(Manual_Check!$G$5:$G$104,A22,Manual_Check!$E$5:$E$104,"*Mismatch*")&gt;0,"Audit - Issues Found",IF(IFERROR(VLOOKUP(A22,Doc_Checklist!$A$5:$G$104,7,FALSE()),"")="Ready for Audit","Ready for Audit","Documents Pending")))))</f>
        <v/>
      </c>
      <c r="J22" s="9"/>
    </row>
    <row r="23" spans="1:10" ht="15" customHeight="1">
      <c r="A23" s="9"/>
      <c r="B23" s="9"/>
      <c r="C23" s="9"/>
      <c r="D23" s="9"/>
      <c r="E23" s="9"/>
      <c r="F23" s="9"/>
      <c r="G23" s="9"/>
      <c r="H23" s="9"/>
      <c r="I23" s="11" t="str">
        <f>IF(A23="","",IF(COUNTIFS(Exception_Log!$B$5:$B$104,A23,Exception_Log!$H$5:$H$104,"&lt;&gt;Closed",Exception_Log!$F$5:$F$104,"*Critical*")&gt;0,"Audit - Issues Found",IF(COUNTIFS(Logistics_Log!$A$5:$A$104,A23,Logistics_Log!$H$5:$H$104,"🔴*")&gt;0,"Audit - Issues Found",IF(COUNTIFS(Manual_Check!$G$5:$G$104,A23,Manual_Check!$E$5:$E$104,"*Mismatch*")&gt;0,"Audit - Issues Found",IF(IFERROR(VLOOKUP(A23,Doc_Checklist!$A$5:$G$104,7,FALSE()),"")="Ready for Audit","Ready for Audit","Documents Pending")))))</f>
        <v/>
      </c>
      <c r="J23" s="9"/>
    </row>
    <row r="24" spans="1:10" ht="15" customHeight="1">
      <c r="A24" s="9"/>
      <c r="B24" s="9"/>
      <c r="C24" s="9"/>
      <c r="D24" s="9"/>
      <c r="E24" s="9"/>
      <c r="F24" s="9"/>
      <c r="G24" s="9"/>
      <c r="H24" s="9"/>
      <c r="I24" s="11" t="str">
        <f>IF(A24="","",IF(COUNTIFS(Exception_Log!$B$5:$B$104,A24,Exception_Log!$H$5:$H$104,"&lt;&gt;Closed",Exception_Log!$F$5:$F$104,"*Critical*")&gt;0,"Audit - Issues Found",IF(COUNTIFS(Logistics_Log!$A$5:$A$104,A24,Logistics_Log!$H$5:$H$104,"🔴*")&gt;0,"Audit - Issues Found",IF(COUNTIFS(Manual_Check!$G$5:$G$104,A24,Manual_Check!$E$5:$E$104,"*Mismatch*")&gt;0,"Audit - Issues Found",IF(IFERROR(VLOOKUP(A24,Doc_Checklist!$A$5:$G$104,7,FALSE()),"")="Ready for Audit","Ready for Audit","Documents Pending")))))</f>
        <v/>
      </c>
      <c r="J24" s="9"/>
    </row>
    <row r="25" spans="1:10" ht="15" customHeight="1">
      <c r="A25" s="9"/>
      <c r="B25" s="9"/>
      <c r="C25" s="9"/>
      <c r="D25" s="9"/>
      <c r="E25" s="9"/>
      <c r="F25" s="9"/>
      <c r="G25" s="9"/>
      <c r="H25" s="9"/>
      <c r="I25" s="11" t="str">
        <f>IF(A25="","",IF(COUNTIFS(Exception_Log!$B$5:$B$104,A25,Exception_Log!$H$5:$H$104,"&lt;&gt;Closed",Exception_Log!$F$5:$F$104,"*Critical*")&gt;0,"Audit - Issues Found",IF(COUNTIFS(Logistics_Log!$A$5:$A$104,A25,Logistics_Log!$H$5:$H$104,"🔴*")&gt;0,"Audit - Issues Found",IF(COUNTIFS(Manual_Check!$G$5:$G$104,A25,Manual_Check!$E$5:$E$104,"*Mismatch*")&gt;0,"Audit - Issues Found",IF(IFERROR(VLOOKUP(A25,Doc_Checklist!$A$5:$G$104,7,FALSE()),"")="Ready for Audit","Ready for Audit","Documents Pending")))))</f>
        <v/>
      </c>
      <c r="J25" s="9"/>
    </row>
    <row r="26" spans="1:10" ht="15" customHeight="1">
      <c r="A26" s="9"/>
      <c r="B26" s="9"/>
      <c r="C26" s="9"/>
      <c r="D26" s="9"/>
      <c r="E26" s="9"/>
      <c r="F26" s="9"/>
      <c r="G26" s="9"/>
      <c r="H26" s="9"/>
      <c r="I26" s="11" t="str">
        <f>IF(A26="","",IF(COUNTIFS(Exception_Log!$B$5:$B$104,A26,Exception_Log!$H$5:$H$104,"&lt;&gt;Closed",Exception_Log!$F$5:$F$104,"*Critical*")&gt;0,"Audit - Issues Found",IF(COUNTIFS(Logistics_Log!$A$5:$A$104,A26,Logistics_Log!$H$5:$H$104,"🔴*")&gt;0,"Audit - Issues Found",IF(COUNTIFS(Manual_Check!$G$5:$G$104,A26,Manual_Check!$E$5:$E$104,"*Mismatch*")&gt;0,"Audit - Issues Found",IF(IFERROR(VLOOKUP(A26,Doc_Checklist!$A$5:$G$104,7,FALSE()),"")="Ready for Audit","Ready for Audit","Documents Pending")))))</f>
        <v/>
      </c>
      <c r="J26" s="9"/>
    </row>
    <row r="27" spans="1:10" ht="15" customHeight="1">
      <c r="A27" s="9"/>
      <c r="B27" s="9"/>
      <c r="C27" s="9"/>
      <c r="D27" s="9"/>
      <c r="E27" s="9"/>
      <c r="F27" s="9"/>
      <c r="G27" s="9"/>
      <c r="H27" s="9"/>
      <c r="I27" s="11" t="str">
        <f>IF(A27="","",IF(COUNTIFS(Exception_Log!$B$5:$B$104,A27,Exception_Log!$H$5:$H$104,"&lt;&gt;Closed",Exception_Log!$F$5:$F$104,"*Critical*")&gt;0,"Audit - Issues Found",IF(COUNTIFS(Logistics_Log!$A$5:$A$104,A27,Logistics_Log!$H$5:$H$104,"🔴*")&gt;0,"Audit - Issues Found",IF(COUNTIFS(Manual_Check!$G$5:$G$104,A27,Manual_Check!$E$5:$E$104,"*Mismatch*")&gt;0,"Audit - Issues Found",IF(IFERROR(VLOOKUP(A27,Doc_Checklist!$A$5:$G$104,7,FALSE()),"")="Ready for Audit","Ready for Audit","Documents Pending")))))</f>
        <v/>
      </c>
      <c r="J27" s="9"/>
    </row>
    <row r="28" spans="1:10" ht="15" customHeight="1">
      <c r="A28" s="9"/>
      <c r="B28" s="9"/>
      <c r="C28" s="9"/>
      <c r="D28" s="9"/>
      <c r="E28" s="9"/>
      <c r="F28" s="9"/>
      <c r="G28" s="9"/>
      <c r="H28" s="9"/>
      <c r="I28" s="11" t="str">
        <f>IF(A28="","",IF(COUNTIFS(Exception_Log!$B$5:$B$104,A28,Exception_Log!$H$5:$H$104,"&lt;&gt;Closed",Exception_Log!$F$5:$F$104,"*Critical*")&gt;0,"Audit - Issues Found",IF(COUNTIFS(Logistics_Log!$A$5:$A$104,A28,Logistics_Log!$H$5:$H$104,"🔴*")&gt;0,"Audit - Issues Found",IF(COUNTIFS(Manual_Check!$G$5:$G$104,A28,Manual_Check!$E$5:$E$104,"*Mismatch*")&gt;0,"Audit - Issues Found",IF(IFERROR(VLOOKUP(A28,Doc_Checklist!$A$5:$G$104,7,FALSE()),"")="Ready for Audit","Ready for Audit","Documents Pending")))))</f>
        <v/>
      </c>
      <c r="J28" s="9"/>
    </row>
    <row r="29" spans="1:10" ht="15" customHeight="1">
      <c r="A29" s="9"/>
      <c r="B29" s="9"/>
      <c r="C29" s="9"/>
      <c r="D29" s="9"/>
      <c r="E29" s="9"/>
      <c r="F29" s="9"/>
      <c r="G29" s="9"/>
      <c r="H29" s="9"/>
      <c r="I29" s="11" t="str">
        <f>IF(A29="","",IF(COUNTIFS(Exception_Log!$B$5:$B$104,A29,Exception_Log!$H$5:$H$104,"&lt;&gt;Closed",Exception_Log!$F$5:$F$104,"*Critical*")&gt;0,"Audit - Issues Found",IF(COUNTIFS(Logistics_Log!$A$5:$A$104,A29,Logistics_Log!$H$5:$H$104,"🔴*")&gt;0,"Audit - Issues Found",IF(COUNTIFS(Manual_Check!$G$5:$G$104,A29,Manual_Check!$E$5:$E$104,"*Mismatch*")&gt;0,"Audit - Issues Found",IF(IFERROR(VLOOKUP(A29,Doc_Checklist!$A$5:$G$104,7,FALSE()),"")="Ready for Audit","Ready for Audit","Documents Pending")))))</f>
        <v/>
      </c>
      <c r="J29" s="9"/>
    </row>
    <row r="30" spans="1:10" ht="15" customHeight="1">
      <c r="A30" s="9"/>
      <c r="B30" s="9"/>
      <c r="C30" s="9"/>
      <c r="D30" s="9"/>
      <c r="E30" s="9"/>
      <c r="F30" s="9"/>
      <c r="G30" s="9"/>
      <c r="H30" s="9"/>
      <c r="I30" s="11" t="str">
        <f>IF(A30="","",IF(COUNTIFS(Exception_Log!$B$5:$B$104,A30,Exception_Log!$H$5:$H$104,"&lt;&gt;Closed",Exception_Log!$F$5:$F$104,"*Critical*")&gt;0,"Audit - Issues Found",IF(COUNTIFS(Logistics_Log!$A$5:$A$104,A30,Logistics_Log!$H$5:$H$104,"🔴*")&gt;0,"Audit - Issues Found",IF(COUNTIFS(Manual_Check!$G$5:$G$104,A30,Manual_Check!$E$5:$E$104,"*Mismatch*")&gt;0,"Audit - Issues Found",IF(IFERROR(VLOOKUP(A30,Doc_Checklist!$A$5:$G$104,7,FALSE()),"")="Ready for Audit","Ready for Audit","Documents Pending")))))</f>
        <v/>
      </c>
      <c r="J30" s="9"/>
    </row>
    <row r="31" spans="1:10" ht="15" customHeight="1">
      <c r="A31" s="9"/>
      <c r="B31" s="9"/>
      <c r="C31" s="9"/>
      <c r="D31" s="9"/>
      <c r="E31" s="9"/>
      <c r="F31" s="9"/>
      <c r="G31" s="9"/>
      <c r="H31" s="9"/>
      <c r="I31" s="11" t="str">
        <f>IF(A31="","",IF(COUNTIFS(Exception_Log!$B$5:$B$104,A31,Exception_Log!$H$5:$H$104,"&lt;&gt;Closed",Exception_Log!$F$5:$F$104,"*Critical*")&gt;0,"Audit - Issues Found",IF(COUNTIFS(Logistics_Log!$A$5:$A$104,A31,Logistics_Log!$H$5:$H$104,"🔴*")&gt;0,"Audit - Issues Found",IF(COUNTIFS(Manual_Check!$G$5:$G$104,A31,Manual_Check!$E$5:$E$104,"*Mismatch*")&gt;0,"Audit - Issues Found",IF(IFERROR(VLOOKUP(A31,Doc_Checklist!$A$5:$G$104,7,FALSE()),"")="Ready for Audit","Ready for Audit","Documents Pending")))))</f>
        <v/>
      </c>
      <c r="J31" s="9"/>
    </row>
    <row r="32" spans="1:10" ht="15" customHeight="1">
      <c r="A32" s="9"/>
      <c r="B32" s="9"/>
      <c r="C32" s="9"/>
      <c r="D32" s="9"/>
      <c r="E32" s="9"/>
      <c r="F32" s="9"/>
      <c r="G32" s="9"/>
      <c r="H32" s="9"/>
      <c r="I32" s="11" t="str">
        <f>IF(A32="","",IF(COUNTIFS(Exception_Log!$B$5:$B$104,A32,Exception_Log!$H$5:$H$104,"&lt;&gt;Closed",Exception_Log!$F$5:$F$104,"*Critical*")&gt;0,"Audit - Issues Found",IF(COUNTIFS(Logistics_Log!$A$5:$A$104,A32,Logistics_Log!$H$5:$H$104,"🔴*")&gt;0,"Audit - Issues Found",IF(COUNTIFS(Manual_Check!$G$5:$G$104,A32,Manual_Check!$E$5:$E$104,"*Mismatch*")&gt;0,"Audit - Issues Found",IF(IFERROR(VLOOKUP(A32,Doc_Checklist!$A$5:$G$104,7,FALSE()),"")="Ready for Audit","Ready for Audit","Documents Pending")))))</f>
        <v/>
      </c>
      <c r="J32" s="9"/>
    </row>
    <row r="33" spans="1:10" ht="15" customHeight="1">
      <c r="A33" s="9"/>
      <c r="B33" s="9"/>
      <c r="C33" s="9"/>
      <c r="D33" s="9"/>
      <c r="E33" s="9"/>
      <c r="F33" s="9"/>
      <c r="G33" s="9"/>
      <c r="H33" s="9"/>
      <c r="I33" s="11" t="str">
        <f>IF(A33="","",IF(COUNTIFS(Exception_Log!$B$5:$B$104,A33,Exception_Log!$H$5:$H$104,"&lt;&gt;Closed",Exception_Log!$F$5:$F$104,"*Critical*")&gt;0,"Audit - Issues Found",IF(COUNTIFS(Logistics_Log!$A$5:$A$104,A33,Logistics_Log!$H$5:$H$104,"🔴*")&gt;0,"Audit - Issues Found",IF(COUNTIFS(Manual_Check!$G$5:$G$104,A33,Manual_Check!$E$5:$E$104,"*Mismatch*")&gt;0,"Audit - Issues Found",IF(IFERROR(VLOOKUP(A33,Doc_Checklist!$A$5:$G$104,7,FALSE()),"")="Ready for Audit","Ready for Audit","Documents Pending")))))</f>
        <v/>
      </c>
      <c r="J33" s="9"/>
    </row>
    <row r="34" spans="1:10" ht="15" customHeight="1">
      <c r="A34" s="9"/>
      <c r="B34" s="9"/>
      <c r="C34" s="9"/>
      <c r="D34" s="9"/>
      <c r="E34" s="9"/>
      <c r="F34" s="9"/>
      <c r="G34" s="9"/>
      <c r="H34" s="9"/>
      <c r="I34" s="11" t="str">
        <f>IF(A34="","",IF(COUNTIFS(Exception_Log!$B$5:$B$104,A34,Exception_Log!$H$5:$H$104,"&lt;&gt;Closed",Exception_Log!$F$5:$F$104,"*Critical*")&gt;0,"Audit - Issues Found",IF(COUNTIFS(Logistics_Log!$A$5:$A$104,A34,Logistics_Log!$H$5:$H$104,"🔴*")&gt;0,"Audit - Issues Found",IF(COUNTIFS(Manual_Check!$G$5:$G$104,A34,Manual_Check!$E$5:$E$104,"*Mismatch*")&gt;0,"Audit - Issues Found",IF(IFERROR(VLOOKUP(A34,Doc_Checklist!$A$5:$G$104,7,FALSE()),"")="Ready for Audit","Ready for Audit","Documents Pending")))))</f>
        <v/>
      </c>
      <c r="J34" s="9"/>
    </row>
    <row r="35" spans="1:10" ht="15" customHeight="1">
      <c r="A35" s="9"/>
      <c r="B35" s="9"/>
      <c r="C35" s="9"/>
      <c r="D35" s="9"/>
      <c r="E35" s="9"/>
      <c r="F35" s="9"/>
      <c r="G35" s="9"/>
      <c r="H35" s="9"/>
      <c r="I35" s="11" t="str">
        <f>IF(A35="","",IF(COUNTIFS(Exception_Log!$B$5:$B$104,A35,Exception_Log!$H$5:$H$104,"&lt;&gt;Closed",Exception_Log!$F$5:$F$104,"*Critical*")&gt;0,"Audit - Issues Found",IF(COUNTIFS(Logistics_Log!$A$5:$A$104,A35,Logistics_Log!$H$5:$H$104,"🔴*")&gt;0,"Audit - Issues Found",IF(COUNTIFS(Manual_Check!$G$5:$G$104,A35,Manual_Check!$E$5:$E$104,"*Mismatch*")&gt;0,"Audit - Issues Found",IF(IFERROR(VLOOKUP(A35,Doc_Checklist!$A$5:$G$104,7,FALSE()),"")="Ready for Audit","Ready for Audit","Documents Pending")))))</f>
        <v/>
      </c>
      <c r="J35" s="9"/>
    </row>
    <row r="36" spans="1:10" ht="15" customHeight="1">
      <c r="A36" s="9"/>
      <c r="B36" s="9"/>
      <c r="C36" s="9"/>
      <c r="D36" s="9"/>
      <c r="E36" s="9"/>
      <c r="F36" s="9"/>
      <c r="G36" s="9"/>
      <c r="H36" s="9"/>
      <c r="I36" s="11" t="str">
        <f>IF(A36="","",IF(COUNTIFS(Exception_Log!$B$5:$B$104,A36,Exception_Log!$H$5:$H$104,"&lt;&gt;Closed",Exception_Log!$F$5:$F$104,"*Critical*")&gt;0,"Audit - Issues Found",IF(COUNTIFS(Logistics_Log!$A$5:$A$104,A36,Logistics_Log!$H$5:$H$104,"🔴*")&gt;0,"Audit - Issues Found",IF(COUNTIFS(Manual_Check!$G$5:$G$104,A36,Manual_Check!$E$5:$E$104,"*Mismatch*")&gt;0,"Audit - Issues Found",IF(IFERROR(VLOOKUP(A36,Doc_Checklist!$A$5:$G$104,7,FALSE()),"")="Ready for Audit","Ready for Audit","Documents Pending")))))</f>
        <v/>
      </c>
      <c r="J36" s="9"/>
    </row>
    <row r="37" spans="1:10" ht="15" customHeight="1">
      <c r="A37" s="9"/>
      <c r="B37" s="9"/>
      <c r="C37" s="9"/>
      <c r="D37" s="9"/>
      <c r="E37" s="9"/>
      <c r="F37" s="9"/>
      <c r="G37" s="9"/>
      <c r="H37" s="9"/>
      <c r="I37" s="11" t="str">
        <f>IF(A37="","",IF(COUNTIFS(Exception_Log!$B$5:$B$104,A37,Exception_Log!$H$5:$H$104,"&lt;&gt;Closed",Exception_Log!$F$5:$F$104,"*Critical*")&gt;0,"Audit - Issues Found",IF(COUNTIFS(Logistics_Log!$A$5:$A$104,A37,Logistics_Log!$H$5:$H$104,"🔴*")&gt;0,"Audit - Issues Found",IF(COUNTIFS(Manual_Check!$G$5:$G$104,A37,Manual_Check!$E$5:$E$104,"*Mismatch*")&gt;0,"Audit - Issues Found",IF(IFERROR(VLOOKUP(A37,Doc_Checklist!$A$5:$G$104,7,FALSE()),"")="Ready for Audit","Ready for Audit","Documents Pending")))))</f>
        <v/>
      </c>
      <c r="J37" s="9"/>
    </row>
    <row r="38" spans="1:10" ht="15" customHeight="1">
      <c r="A38" s="9"/>
      <c r="B38" s="9"/>
      <c r="C38" s="9"/>
      <c r="D38" s="9"/>
      <c r="E38" s="9"/>
      <c r="F38" s="9"/>
      <c r="G38" s="9"/>
      <c r="H38" s="9"/>
      <c r="I38" s="11" t="str">
        <f>IF(A38="","",IF(COUNTIFS(Exception_Log!$B$5:$B$104,A38,Exception_Log!$H$5:$H$104,"&lt;&gt;Closed",Exception_Log!$F$5:$F$104,"*Critical*")&gt;0,"Audit - Issues Found",IF(COUNTIFS(Logistics_Log!$A$5:$A$104,A38,Logistics_Log!$H$5:$H$104,"🔴*")&gt;0,"Audit - Issues Found",IF(COUNTIFS(Manual_Check!$G$5:$G$104,A38,Manual_Check!$E$5:$E$104,"*Mismatch*")&gt;0,"Audit - Issues Found",IF(IFERROR(VLOOKUP(A38,Doc_Checklist!$A$5:$G$104,7,FALSE()),"")="Ready for Audit","Ready for Audit","Documents Pending")))))</f>
        <v/>
      </c>
      <c r="J38" s="9"/>
    </row>
    <row r="39" spans="1:10" ht="15" customHeight="1">
      <c r="A39" s="9"/>
      <c r="B39" s="9"/>
      <c r="C39" s="9"/>
      <c r="D39" s="9"/>
      <c r="E39" s="9"/>
      <c r="F39" s="9"/>
      <c r="G39" s="9"/>
      <c r="H39" s="9"/>
      <c r="I39" s="11" t="str">
        <f>IF(A39="","",IF(COUNTIFS(Exception_Log!$B$5:$B$104,A39,Exception_Log!$H$5:$H$104,"&lt;&gt;Closed",Exception_Log!$F$5:$F$104,"*Critical*")&gt;0,"Audit - Issues Found",IF(COUNTIFS(Logistics_Log!$A$5:$A$104,A39,Logistics_Log!$H$5:$H$104,"🔴*")&gt;0,"Audit - Issues Found",IF(COUNTIFS(Manual_Check!$G$5:$G$104,A39,Manual_Check!$E$5:$E$104,"*Mismatch*")&gt;0,"Audit - Issues Found",IF(IFERROR(VLOOKUP(A39,Doc_Checklist!$A$5:$G$104,7,FALSE()),"")="Ready for Audit","Ready for Audit","Documents Pending")))))</f>
        <v/>
      </c>
      <c r="J39" s="9"/>
    </row>
    <row r="40" spans="1:10" ht="15" customHeight="1">
      <c r="A40" s="9"/>
      <c r="B40" s="9"/>
      <c r="C40" s="9"/>
      <c r="D40" s="9"/>
      <c r="E40" s="9"/>
      <c r="F40" s="9"/>
      <c r="G40" s="9"/>
      <c r="H40" s="9"/>
      <c r="I40" s="11" t="str">
        <f>IF(A40="","",IF(COUNTIFS(Exception_Log!$B$5:$B$104,A40,Exception_Log!$H$5:$H$104,"&lt;&gt;Closed",Exception_Log!$F$5:$F$104,"*Critical*")&gt;0,"Audit - Issues Found",IF(COUNTIFS(Logistics_Log!$A$5:$A$104,A40,Logistics_Log!$H$5:$H$104,"🔴*")&gt;0,"Audit - Issues Found",IF(COUNTIFS(Manual_Check!$G$5:$G$104,A40,Manual_Check!$E$5:$E$104,"*Mismatch*")&gt;0,"Audit - Issues Found",IF(IFERROR(VLOOKUP(A40,Doc_Checklist!$A$5:$G$104,7,FALSE()),"")="Ready for Audit","Ready for Audit","Documents Pending")))))</f>
        <v/>
      </c>
      <c r="J40" s="9"/>
    </row>
    <row r="41" spans="1:10" ht="15" customHeight="1">
      <c r="A41" s="9"/>
      <c r="B41" s="9"/>
      <c r="C41" s="9"/>
      <c r="D41" s="9"/>
      <c r="E41" s="9"/>
      <c r="F41" s="9"/>
      <c r="G41" s="9"/>
      <c r="H41" s="9"/>
      <c r="I41" s="11" t="str">
        <f>IF(A41="","",IF(COUNTIFS(Exception_Log!$B$5:$B$104,A41,Exception_Log!$H$5:$H$104,"&lt;&gt;Closed",Exception_Log!$F$5:$F$104,"*Critical*")&gt;0,"Audit - Issues Found",IF(COUNTIFS(Logistics_Log!$A$5:$A$104,A41,Logistics_Log!$H$5:$H$104,"🔴*")&gt;0,"Audit - Issues Found",IF(COUNTIFS(Manual_Check!$G$5:$G$104,A41,Manual_Check!$E$5:$E$104,"*Mismatch*")&gt;0,"Audit - Issues Found",IF(IFERROR(VLOOKUP(A41,Doc_Checklist!$A$5:$G$104,7,FALSE()),"")="Ready for Audit","Ready for Audit","Documents Pending")))))</f>
        <v/>
      </c>
      <c r="J41" s="9"/>
    </row>
    <row r="42" spans="1:10" ht="15" customHeight="1">
      <c r="A42" s="9"/>
      <c r="B42" s="9"/>
      <c r="C42" s="9"/>
      <c r="D42" s="9"/>
      <c r="E42" s="9"/>
      <c r="F42" s="9"/>
      <c r="G42" s="9"/>
      <c r="H42" s="9"/>
      <c r="I42" s="11" t="str">
        <f>IF(A42="","",IF(COUNTIFS(Exception_Log!$B$5:$B$104,A42,Exception_Log!$H$5:$H$104,"&lt;&gt;Closed",Exception_Log!$F$5:$F$104,"*Critical*")&gt;0,"Audit - Issues Found",IF(COUNTIFS(Logistics_Log!$A$5:$A$104,A42,Logistics_Log!$H$5:$H$104,"🔴*")&gt;0,"Audit - Issues Found",IF(COUNTIFS(Manual_Check!$G$5:$G$104,A42,Manual_Check!$E$5:$E$104,"*Mismatch*")&gt;0,"Audit - Issues Found",IF(IFERROR(VLOOKUP(A42,Doc_Checklist!$A$5:$G$104,7,FALSE()),"")="Ready for Audit","Ready for Audit","Documents Pending")))))</f>
        <v/>
      </c>
      <c r="J42" s="9"/>
    </row>
    <row r="43" spans="1:10" ht="15" customHeight="1">
      <c r="A43" s="9"/>
      <c r="B43" s="9"/>
      <c r="C43" s="9"/>
      <c r="D43" s="9"/>
      <c r="E43" s="9"/>
      <c r="F43" s="9"/>
      <c r="G43" s="9"/>
      <c r="H43" s="9"/>
      <c r="I43" s="11" t="str">
        <f>IF(A43="","",IF(COUNTIFS(Exception_Log!$B$5:$B$104,A43,Exception_Log!$H$5:$H$104,"&lt;&gt;Closed",Exception_Log!$F$5:$F$104,"*Critical*")&gt;0,"Audit - Issues Found",IF(COUNTIFS(Logistics_Log!$A$5:$A$104,A43,Logistics_Log!$H$5:$H$104,"🔴*")&gt;0,"Audit - Issues Found",IF(COUNTIFS(Manual_Check!$G$5:$G$104,A43,Manual_Check!$E$5:$E$104,"*Mismatch*")&gt;0,"Audit - Issues Found",IF(IFERROR(VLOOKUP(A43,Doc_Checklist!$A$5:$G$104,7,FALSE()),"")="Ready for Audit","Ready for Audit","Documents Pending")))))</f>
        <v/>
      </c>
      <c r="J43" s="9"/>
    </row>
    <row r="44" spans="1:10" ht="15" customHeight="1">
      <c r="A44" s="9"/>
      <c r="B44" s="9"/>
      <c r="C44" s="9"/>
      <c r="D44" s="9"/>
      <c r="E44" s="9"/>
      <c r="F44" s="9"/>
      <c r="G44" s="9"/>
      <c r="H44" s="9"/>
      <c r="I44" s="11" t="str">
        <f>IF(A44="","",IF(COUNTIFS(Exception_Log!$B$5:$B$104,A44,Exception_Log!$H$5:$H$104,"&lt;&gt;Closed",Exception_Log!$F$5:$F$104,"*Critical*")&gt;0,"Audit - Issues Found",IF(COUNTIFS(Logistics_Log!$A$5:$A$104,A44,Logistics_Log!$H$5:$H$104,"🔴*")&gt;0,"Audit - Issues Found",IF(COUNTIFS(Manual_Check!$G$5:$G$104,A44,Manual_Check!$E$5:$E$104,"*Mismatch*")&gt;0,"Audit - Issues Found",IF(IFERROR(VLOOKUP(A44,Doc_Checklist!$A$5:$G$104,7,FALSE()),"")="Ready for Audit","Ready for Audit","Documents Pending")))))</f>
        <v/>
      </c>
      <c r="J44" s="9"/>
    </row>
    <row r="45" spans="1:10" ht="15" customHeight="1">
      <c r="A45" s="9"/>
      <c r="B45" s="9"/>
      <c r="C45" s="9"/>
      <c r="D45" s="9"/>
      <c r="E45" s="9"/>
      <c r="F45" s="9"/>
      <c r="G45" s="9"/>
      <c r="H45" s="9"/>
      <c r="I45" s="11" t="str">
        <f>IF(A45="","",IF(COUNTIFS(Exception_Log!$B$5:$B$104,A45,Exception_Log!$H$5:$H$104,"&lt;&gt;Closed",Exception_Log!$F$5:$F$104,"*Critical*")&gt;0,"Audit - Issues Found",IF(COUNTIFS(Logistics_Log!$A$5:$A$104,A45,Logistics_Log!$H$5:$H$104,"🔴*")&gt;0,"Audit - Issues Found",IF(COUNTIFS(Manual_Check!$G$5:$G$104,A45,Manual_Check!$E$5:$E$104,"*Mismatch*")&gt;0,"Audit - Issues Found",IF(IFERROR(VLOOKUP(A45,Doc_Checklist!$A$5:$G$104,7,FALSE()),"")="Ready for Audit","Ready for Audit","Documents Pending")))))</f>
        <v/>
      </c>
      <c r="J45" s="9"/>
    </row>
    <row r="46" spans="1:10" ht="15" customHeight="1">
      <c r="A46" s="9"/>
      <c r="B46" s="9"/>
      <c r="C46" s="9"/>
      <c r="D46" s="9"/>
      <c r="E46" s="9"/>
      <c r="F46" s="9"/>
      <c r="G46" s="9"/>
      <c r="H46" s="9"/>
      <c r="I46" s="11" t="str">
        <f>IF(A46="","",IF(COUNTIFS(Exception_Log!$B$5:$B$104,A46,Exception_Log!$H$5:$H$104,"&lt;&gt;Closed",Exception_Log!$F$5:$F$104,"*Critical*")&gt;0,"Audit - Issues Found",IF(COUNTIFS(Logistics_Log!$A$5:$A$104,A46,Logistics_Log!$H$5:$H$104,"🔴*")&gt;0,"Audit - Issues Found",IF(COUNTIFS(Manual_Check!$G$5:$G$104,A46,Manual_Check!$E$5:$E$104,"*Mismatch*")&gt;0,"Audit - Issues Found",IF(IFERROR(VLOOKUP(A46,Doc_Checklist!$A$5:$G$104,7,FALSE()),"")="Ready for Audit","Ready for Audit","Documents Pending")))))</f>
        <v/>
      </c>
      <c r="J46" s="9"/>
    </row>
    <row r="47" spans="1:10" ht="15" customHeight="1">
      <c r="A47" s="9"/>
      <c r="B47" s="9"/>
      <c r="C47" s="9"/>
      <c r="D47" s="9"/>
      <c r="E47" s="9"/>
      <c r="F47" s="9"/>
      <c r="G47" s="9"/>
      <c r="H47" s="9"/>
      <c r="I47" s="11" t="str">
        <f>IF(A47="","",IF(COUNTIFS(Exception_Log!$B$5:$B$104,A47,Exception_Log!$H$5:$H$104,"&lt;&gt;Closed",Exception_Log!$F$5:$F$104,"*Critical*")&gt;0,"Audit - Issues Found",IF(COUNTIFS(Logistics_Log!$A$5:$A$104,A47,Logistics_Log!$H$5:$H$104,"🔴*")&gt;0,"Audit - Issues Found",IF(COUNTIFS(Manual_Check!$G$5:$G$104,A47,Manual_Check!$E$5:$E$104,"*Mismatch*")&gt;0,"Audit - Issues Found",IF(IFERROR(VLOOKUP(A47,Doc_Checklist!$A$5:$G$104,7,FALSE()),"")="Ready for Audit","Ready for Audit","Documents Pending")))))</f>
        <v/>
      </c>
      <c r="J47" s="9"/>
    </row>
    <row r="48" spans="1:10" ht="15" customHeight="1">
      <c r="A48" s="9"/>
      <c r="B48" s="9"/>
      <c r="C48" s="9"/>
      <c r="D48" s="9"/>
      <c r="E48" s="9"/>
      <c r="F48" s="9"/>
      <c r="G48" s="9"/>
      <c r="H48" s="9"/>
      <c r="I48" s="11" t="str">
        <f>IF(A48="","",IF(COUNTIFS(Exception_Log!$B$5:$B$104,A48,Exception_Log!$H$5:$H$104,"&lt;&gt;Closed",Exception_Log!$F$5:$F$104,"*Critical*")&gt;0,"Audit - Issues Found",IF(COUNTIFS(Logistics_Log!$A$5:$A$104,A48,Logistics_Log!$H$5:$H$104,"🔴*")&gt;0,"Audit - Issues Found",IF(COUNTIFS(Manual_Check!$G$5:$G$104,A48,Manual_Check!$E$5:$E$104,"*Mismatch*")&gt;0,"Audit - Issues Found",IF(IFERROR(VLOOKUP(A48,Doc_Checklist!$A$5:$G$104,7,FALSE()),"")="Ready for Audit","Ready for Audit","Documents Pending")))))</f>
        <v/>
      </c>
      <c r="J48" s="9"/>
    </row>
    <row r="49" spans="1:10" ht="15" customHeight="1">
      <c r="A49" s="9"/>
      <c r="B49" s="9"/>
      <c r="C49" s="9"/>
      <c r="D49" s="9"/>
      <c r="E49" s="9"/>
      <c r="F49" s="9"/>
      <c r="G49" s="9"/>
      <c r="H49" s="9"/>
      <c r="I49" s="11" t="str">
        <f>IF(A49="","",IF(COUNTIFS(Exception_Log!$B$5:$B$104,A49,Exception_Log!$H$5:$H$104,"&lt;&gt;Closed",Exception_Log!$F$5:$F$104,"*Critical*")&gt;0,"Audit - Issues Found",IF(COUNTIFS(Logistics_Log!$A$5:$A$104,A49,Logistics_Log!$H$5:$H$104,"🔴*")&gt;0,"Audit - Issues Found",IF(COUNTIFS(Manual_Check!$G$5:$G$104,A49,Manual_Check!$E$5:$E$104,"*Mismatch*")&gt;0,"Audit - Issues Found",IF(IFERROR(VLOOKUP(A49,Doc_Checklist!$A$5:$G$104,7,FALSE()),"")="Ready for Audit","Ready for Audit","Documents Pending")))))</f>
        <v/>
      </c>
      <c r="J49" s="9"/>
    </row>
    <row r="50" spans="1:10" ht="15" customHeight="1">
      <c r="A50" s="9"/>
      <c r="B50" s="9"/>
      <c r="C50" s="9"/>
      <c r="D50" s="9"/>
      <c r="E50" s="9"/>
      <c r="F50" s="9"/>
      <c r="G50" s="9"/>
      <c r="H50" s="9"/>
      <c r="I50" s="11" t="str">
        <f>IF(A50="","",IF(COUNTIFS(Exception_Log!$B$5:$B$104,A50,Exception_Log!$H$5:$H$104,"&lt;&gt;Closed",Exception_Log!$F$5:$F$104,"*Critical*")&gt;0,"Audit - Issues Found",IF(COUNTIFS(Logistics_Log!$A$5:$A$104,A50,Logistics_Log!$H$5:$H$104,"🔴*")&gt;0,"Audit - Issues Found",IF(COUNTIFS(Manual_Check!$G$5:$G$104,A50,Manual_Check!$E$5:$E$104,"*Mismatch*")&gt;0,"Audit - Issues Found",IF(IFERROR(VLOOKUP(A50,Doc_Checklist!$A$5:$G$104,7,FALSE()),"")="Ready for Audit","Ready for Audit","Documents Pending")))))</f>
        <v/>
      </c>
      <c r="J50" s="9"/>
    </row>
    <row r="51" spans="1:10" ht="15" customHeight="1">
      <c r="A51" s="9"/>
      <c r="B51" s="9"/>
      <c r="C51" s="9"/>
      <c r="D51" s="9"/>
      <c r="E51" s="9"/>
      <c r="F51" s="9"/>
      <c r="G51" s="9"/>
      <c r="H51" s="9"/>
      <c r="I51" s="11" t="str">
        <f>IF(A51="","",IF(COUNTIFS(Exception_Log!$B$5:$B$104,A51,Exception_Log!$H$5:$H$104,"&lt;&gt;Closed",Exception_Log!$F$5:$F$104,"*Critical*")&gt;0,"Audit - Issues Found",IF(COUNTIFS(Logistics_Log!$A$5:$A$104,A51,Logistics_Log!$H$5:$H$104,"🔴*")&gt;0,"Audit - Issues Found",IF(COUNTIFS(Manual_Check!$G$5:$G$104,A51,Manual_Check!$E$5:$E$104,"*Mismatch*")&gt;0,"Audit - Issues Found",IF(IFERROR(VLOOKUP(A51,Doc_Checklist!$A$5:$G$104,7,FALSE()),"")="Ready for Audit","Ready for Audit","Documents Pending")))))</f>
        <v/>
      </c>
      <c r="J51" s="9"/>
    </row>
    <row r="52" spans="1:10" ht="15" customHeight="1">
      <c r="A52" s="9"/>
      <c r="B52" s="9"/>
      <c r="C52" s="9"/>
      <c r="D52" s="9"/>
      <c r="E52" s="9"/>
      <c r="F52" s="9"/>
      <c r="G52" s="9"/>
      <c r="H52" s="9"/>
      <c r="I52" s="11" t="str">
        <f>IF(A52="","",IF(COUNTIFS(Exception_Log!$B$5:$B$104,A52,Exception_Log!$H$5:$H$104,"&lt;&gt;Closed",Exception_Log!$F$5:$F$104,"*Critical*")&gt;0,"Audit - Issues Found",IF(COUNTIFS(Logistics_Log!$A$5:$A$104,A52,Logistics_Log!$H$5:$H$104,"🔴*")&gt;0,"Audit - Issues Found",IF(COUNTIFS(Manual_Check!$G$5:$G$104,A52,Manual_Check!$E$5:$E$104,"*Mismatch*")&gt;0,"Audit - Issues Found",IF(IFERROR(VLOOKUP(A52,Doc_Checklist!$A$5:$G$104,7,FALSE()),"")="Ready for Audit","Ready for Audit","Documents Pending")))))</f>
        <v/>
      </c>
      <c r="J52" s="9"/>
    </row>
    <row r="53" spans="1:10" ht="15" customHeight="1">
      <c r="A53" s="9"/>
      <c r="B53" s="9"/>
      <c r="C53" s="9"/>
      <c r="D53" s="9"/>
      <c r="E53" s="9"/>
      <c r="F53" s="9"/>
      <c r="G53" s="9"/>
      <c r="H53" s="9"/>
      <c r="I53" s="11" t="str">
        <f>IF(A53="","",IF(COUNTIFS(Exception_Log!$B$5:$B$104,A53,Exception_Log!$H$5:$H$104,"&lt;&gt;Closed",Exception_Log!$F$5:$F$104,"*Critical*")&gt;0,"Audit - Issues Found",IF(COUNTIFS(Logistics_Log!$A$5:$A$104,A53,Logistics_Log!$H$5:$H$104,"🔴*")&gt;0,"Audit - Issues Found",IF(COUNTIFS(Manual_Check!$G$5:$G$104,A53,Manual_Check!$E$5:$E$104,"*Mismatch*")&gt;0,"Audit - Issues Found",IF(IFERROR(VLOOKUP(A53,Doc_Checklist!$A$5:$G$104,7,FALSE()),"")="Ready for Audit","Ready for Audit","Documents Pending")))))</f>
        <v/>
      </c>
      <c r="J53" s="9"/>
    </row>
    <row r="54" spans="1:10" ht="15" customHeight="1">
      <c r="A54" s="9"/>
      <c r="B54" s="9"/>
      <c r="C54" s="9"/>
      <c r="D54" s="9"/>
      <c r="E54" s="9"/>
      <c r="F54" s="9"/>
      <c r="G54" s="9"/>
      <c r="H54" s="9"/>
      <c r="I54" s="11" t="str">
        <f>IF(A54="","",IF(COUNTIFS(Exception_Log!$B$5:$B$104,A54,Exception_Log!$H$5:$H$104,"&lt;&gt;Closed",Exception_Log!$F$5:$F$104,"*Critical*")&gt;0,"Audit - Issues Found",IF(COUNTIFS(Logistics_Log!$A$5:$A$104,A54,Logistics_Log!$H$5:$H$104,"🔴*")&gt;0,"Audit - Issues Found",IF(COUNTIFS(Manual_Check!$G$5:$G$104,A54,Manual_Check!$E$5:$E$104,"*Mismatch*")&gt;0,"Audit - Issues Found",IF(IFERROR(VLOOKUP(A54,Doc_Checklist!$A$5:$G$104,7,FALSE()),"")="Ready for Audit","Ready for Audit","Documents Pending")))))</f>
        <v/>
      </c>
      <c r="J54" s="9"/>
    </row>
    <row r="55" spans="1:10" ht="15" customHeight="1">
      <c r="A55" s="9"/>
      <c r="B55" s="9"/>
      <c r="C55" s="9"/>
      <c r="D55" s="9"/>
      <c r="E55" s="9"/>
      <c r="F55" s="9"/>
      <c r="G55" s="9"/>
      <c r="H55" s="9"/>
      <c r="I55" s="11" t="str">
        <f>IF(A55="","",IF(COUNTIFS(Exception_Log!$B$5:$B$104,A55,Exception_Log!$H$5:$H$104,"&lt;&gt;Closed",Exception_Log!$F$5:$F$104,"*Critical*")&gt;0,"Audit - Issues Found",IF(COUNTIFS(Logistics_Log!$A$5:$A$104,A55,Logistics_Log!$H$5:$H$104,"🔴*")&gt;0,"Audit - Issues Found",IF(COUNTIFS(Manual_Check!$G$5:$G$104,A55,Manual_Check!$E$5:$E$104,"*Mismatch*")&gt;0,"Audit - Issues Found",IF(IFERROR(VLOOKUP(A55,Doc_Checklist!$A$5:$G$104,7,FALSE()),"")="Ready for Audit","Ready for Audit","Documents Pending")))))</f>
        <v/>
      </c>
      <c r="J55" s="9"/>
    </row>
    <row r="56" spans="1:10" ht="15" customHeight="1">
      <c r="A56" s="9"/>
      <c r="B56" s="9"/>
      <c r="C56" s="9"/>
      <c r="D56" s="9"/>
      <c r="E56" s="9"/>
      <c r="F56" s="9"/>
      <c r="G56" s="9"/>
      <c r="H56" s="9"/>
      <c r="I56" s="11" t="str">
        <f>IF(A56="","",IF(COUNTIFS(Exception_Log!$B$5:$B$104,A56,Exception_Log!$H$5:$H$104,"&lt;&gt;Closed",Exception_Log!$F$5:$F$104,"*Critical*")&gt;0,"Audit - Issues Found",IF(COUNTIFS(Logistics_Log!$A$5:$A$104,A56,Logistics_Log!$H$5:$H$104,"🔴*")&gt;0,"Audit - Issues Found",IF(COUNTIFS(Manual_Check!$G$5:$G$104,A56,Manual_Check!$E$5:$E$104,"*Mismatch*")&gt;0,"Audit - Issues Found",IF(IFERROR(VLOOKUP(A56,Doc_Checklist!$A$5:$G$104,7,FALSE()),"")="Ready for Audit","Ready for Audit","Documents Pending")))))</f>
        <v/>
      </c>
      <c r="J56" s="9"/>
    </row>
    <row r="57" spans="1:10" ht="15" customHeight="1">
      <c r="A57" s="9"/>
      <c r="B57" s="9"/>
      <c r="C57" s="9"/>
      <c r="D57" s="9"/>
      <c r="E57" s="9"/>
      <c r="F57" s="9"/>
      <c r="G57" s="9"/>
      <c r="H57" s="9"/>
      <c r="I57" s="11" t="str">
        <f>IF(A57="","",IF(COUNTIFS(Exception_Log!$B$5:$B$104,A57,Exception_Log!$H$5:$H$104,"&lt;&gt;Closed",Exception_Log!$F$5:$F$104,"*Critical*")&gt;0,"Audit - Issues Found",IF(COUNTIFS(Logistics_Log!$A$5:$A$104,A57,Logistics_Log!$H$5:$H$104,"🔴*")&gt;0,"Audit - Issues Found",IF(COUNTIFS(Manual_Check!$G$5:$G$104,A57,Manual_Check!$E$5:$E$104,"*Mismatch*")&gt;0,"Audit - Issues Found",IF(IFERROR(VLOOKUP(A57,Doc_Checklist!$A$5:$G$104,7,FALSE()),"")="Ready for Audit","Ready for Audit","Documents Pending")))))</f>
        <v/>
      </c>
      <c r="J57" s="9"/>
    </row>
    <row r="58" spans="1:10" ht="15" customHeight="1">
      <c r="A58" s="9"/>
      <c r="B58" s="9"/>
      <c r="C58" s="9"/>
      <c r="D58" s="9"/>
      <c r="E58" s="9"/>
      <c r="F58" s="9"/>
      <c r="G58" s="9"/>
      <c r="H58" s="9"/>
      <c r="I58" s="11" t="str">
        <f>IF(A58="","",IF(COUNTIFS(Exception_Log!$B$5:$B$104,A58,Exception_Log!$H$5:$H$104,"&lt;&gt;Closed",Exception_Log!$F$5:$F$104,"*Critical*")&gt;0,"Audit - Issues Found",IF(COUNTIFS(Logistics_Log!$A$5:$A$104,A58,Logistics_Log!$H$5:$H$104,"🔴*")&gt;0,"Audit - Issues Found",IF(COUNTIFS(Manual_Check!$G$5:$G$104,A58,Manual_Check!$E$5:$E$104,"*Mismatch*")&gt;0,"Audit - Issues Found",IF(IFERROR(VLOOKUP(A58,Doc_Checklist!$A$5:$G$104,7,FALSE()),"")="Ready for Audit","Ready for Audit","Documents Pending")))))</f>
        <v/>
      </c>
      <c r="J58" s="9"/>
    </row>
    <row r="59" spans="1:10" ht="15" customHeight="1">
      <c r="A59" s="9"/>
      <c r="B59" s="9"/>
      <c r="C59" s="9"/>
      <c r="D59" s="9"/>
      <c r="E59" s="9"/>
      <c r="F59" s="9"/>
      <c r="G59" s="9"/>
      <c r="H59" s="9"/>
      <c r="I59" s="11" t="str">
        <f>IF(A59="","",IF(COUNTIFS(Exception_Log!$B$5:$B$104,A59,Exception_Log!$H$5:$H$104,"&lt;&gt;Closed",Exception_Log!$F$5:$F$104,"*Critical*")&gt;0,"Audit - Issues Found",IF(COUNTIFS(Logistics_Log!$A$5:$A$104,A59,Logistics_Log!$H$5:$H$104,"🔴*")&gt;0,"Audit - Issues Found",IF(COUNTIFS(Manual_Check!$G$5:$G$104,A59,Manual_Check!$E$5:$E$104,"*Mismatch*")&gt;0,"Audit - Issues Found",IF(IFERROR(VLOOKUP(A59,Doc_Checklist!$A$5:$G$104,7,FALSE()),"")="Ready for Audit","Ready for Audit","Documents Pending")))))</f>
        <v/>
      </c>
      <c r="J59" s="9"/>
    </row>
    <row r="60" spans="1:10" ht="15" customHeight="1">
      <c r="A60" s="9"/>
      <c r="B60" s="9"/>
      <c r="C60" s="9"/>
      <c r="D60" s="9"/>
      <c r="E60" s="9"/>
      <c r="F60" s="9"/>
      <c r="G60" s="9"/>
      <c r="H60" s="9"/>
      <c r="I60" s="11" t="str">
        <f>IF(A60="","",IF(COUNTIFS(Exception_Log!$B$5:$B$104,A60,Exception_Log!$H$5:$H$104,"&lt;&gt;Closed",Exception_Log!$F$5:$F$104,"*Critical*")&gt;0,"Audit - Issues Found",IF(COUNTIFS(Logistics_Log!$A$5:$A$104,A60,Logistics_Log!$H$5:$H$104,"🔴*")&gt;0,"Audit - Issues Found",IF(COUNTIFS(Manual_Check!$G$5:$G$104,A60,Manual_Check!$E$5:$E$104,"*Mismatch*")&gt;0,"Audit - Issues Found",IF(IFERROR(VLOOKUP(A60,Doc_Checklist!$A$5:$G$104,7,FALSE()),"")="Ready for Audit","Ready for Audit","Documents Pending")))))</f>
        <v/>
      </c>
      <c r="J60" s="9"/>
    </row>
    <row r="61" spans="1:10" ht="15" customHeight="1">
      <c r="A61" s="9"/>
      <c r="B61" s="9"/>
      <c r="C61" s="9"/>
      <c r="D61" s="9"/>
      <c r="E61" s="9"/>
      <c r="F61" s="9"/>
      <c r="G61" s="9"/>
      <c r="H61" s="9"/>
      <c r="I61" s="11" t="str">
        <f>IF(A61="","",IF(COUNTIFS(Exception_Log!$B$5:$B$104,A61,Exception_Log!$H$5:$H$104,"&lt;&gt;Closed",Exception_Log!$F$5:$F$104,"*Critical*")&gt;0,"Audit - Issues Found",IF(COUNTIFS(Logistics_Log!$A$5:$A$104,A61,Logistics_Log!$H$5:$H$104,"🔴*")&gt;0,"Audit - Issues Found",IF(COUNTIFS(Manual_Check!$G$5:$G$104,A61,Manual_Check!$E$5:$E$104,"*Mismatch*")&gt;0,"Audit - Issues Found",IF(IFERROR(VLOOKUP(A61,Doc_Checklist!$A$5:$G$104,7,FALSE()),"")="Ready for Audit","Ready for Audit","Documents Pending")))))</f>
        <v/>
      </c>
      <c r="J61" s="9"/>
    </row>
    <row r="62" spans="1:10" ht="15" customHeight="1">
      <c r="A62" s="9"/>
      <c r="B62" s="9"/>
      <c r="C62" s="9"/>
      <c r="D62" s="9"/>
      <c r="E62" s="9"/>
      <c r="F62" s="9"/>
      <c r="G62" s="9"/>
      <c r="H62" s="9"/>
      <c r="I62" s="11" t="str">
        <f>IF(A62="","",IF(COUNTIFS(Exception_Log!$B$5:$B$104,A62,Exception_Log!$H$5:$H$104,"&lt;&gt;Closed",Exception_Log!$F$5:$F$104,"*Critical*")&gt;0,"Audit - Issues Found",IF(COUNTIFS(Logistics_Log!$A$5:$A$104,A62,Logistics_Log!$H$5:$H$104,"🔴*")&gt;0,"Audit - Issues Found",IF(COUNTIFS(Manual_Check!$G$5:$G$104,A62,Manual_Check!$E$5:$E$104,"*Mismatch*")&gt;0,"Audit - Issues Found",IF(IFERROR(VLOOKUP(A62,Doc_Checklist!$A$5:$G$104,7,FALSE()),"")="Ready for Audit","Ready for Audit","Documents Pending")))))</f>
        <v/>
      </c>
      <c r="J62" s="9"/>
    </row>
    <row r="63" spans="1:10" ht="15" customHeight="1">
      <c r="A63" s="9"/>
      <c r="B63" s="9"/>
      <c r="C63" s="9"/>
      <c r="D63" s="9"/>
      <c r="E63" s="9"/>
      <c r="F63" s="9"/>
      <c r="G63" s="9"/>
      <c r="H63" s="9"/>
      <c r="I63" s="11" t="str">
        <f>IF(A63="","",IF(COUNTIFS(Exception_Log!$B$5:$B$104,A63,Exception_Log!$H$5:$H$104,"&lt;&gt;Closed",Exception_Log!$F$5:$F$104,"*Critical*")&gt;0,"Audit - Issues Found",IF(COUNTIFS(Logistics_Log!$A$5:$A$104,A63,Logistics_Log!$H$5:$H$104,"🔴*")&gt;0,"Audit - Issues Found",IF(COUNTIFS(Manual_Check!$G$5:$G$104,A63,Manual_Check!$E$5:$E$104,"*Mismatch*")&gt;0,"Audit - Issues Found",IF(IFERROR(VLOOKUP(A63,Doc_Checklist!$A$5:$G$104,7,FALSE()),"")="Ready for Audit","Ready for Audit","Documents Pending")))))</f>
        <v/>
      </c>
      <c r="J63" s="9"/>
    </row>
    <row r="64" spans="1:10" ht="15" customHeight="1">
      <c r="A64" s="9"/>
      <c r="B64" s="9"/>
      <c r="C64" s="9"/>
      <c r="D64" s="9"/>
      <c r="E64" s="9"/>
      <c r="F64" s="9"/>
      <c r="G64" s="9"/>
      <c r="H64" s="9"/>
      <c r="I64" s="11" t="str">
        <f>IF(A64="","",IF(COUNTIFS(Exception_Log!$B$5:$B$104,A64,Exception_Log!$H$5:$H$104,"&lt;&gt;Closed",Exception_Log!$F$5:$F$104,"*Critical*")&gt;0,"Audit - Issues Found",IF(COUNTIFS(Logistics_Log!$A$5:$A$104,A64,Logistics_Log!$H$5:$H$104,"🔴*")&gt;0,"Audit - Issues Found",IF(COUNTIFS(Manual_Check!$G$5:$G$104,A64,Manual_Check!$E$5:$E$104,"*Mismatch*")&gt;0,"Audit - Issues Found",IF(IFERROR(VLOOKUP(A64,Doc_Checklist!$A$5:$G$104,7,FALSE()),"")="Ready for Audit","Ready for Audit","Documents Pending")))))</f>
        <v/>
      </c>
      <c r="J64" s="9"/>
    </row>
    <row r="65" spans="1:10" ht="15" customHeight="1">
      <c r="A65" s="9"/>
      <c r="B65" s="9"/>
      <c r="C65" s="9"/>
      <c r="D65" s="9"/>
      <c r="E65" s="9"/>
      <c r="F65" s="9"/>
      <c r="G65" s="9"/>
      <c r="H65" s="9"/>
      <c r="I65" s="11" t="str">
        <f>IF(A65="","",IF(COUNTIFS(Exception_Log!$B$5:$B$104,A65,Exception_Log!$H$5:$H$104,"&lt;&gt;Closed",Exception_Log!$F$5:$F$104,"*Critical*")&gt;0,"Audit - Issues Found",IF(COUNTIFS(Logistics_Log!$A$5:$A$104,A65,Logistics_Log!$H$5:$H$104,"🔴*")&gt;0,"Audit - Issues Found",IF(COUNTIFS(Manual_Check!$G$5:$G$104,A65,Manual_Check!$E$5:$E$104,"*Mismatch*")&gt;0,"Audit - Issues Found",IF(IFERROR(VLOOKUP(A65,Doc_Checklist!$A$5:$G$104,7,FALSE()),"")="Ready for Audit","Ready for Audit","Documents Pending")))))</f>
        <v/>
      </c>
      <c r="J65" s="9"/>
    </row>
    <row r="66" spans="1:10" ht="15" customHeight="1">
      <c r="A66" s="9"/>
      <c r="B66" s="9"/>
      <c r="C66" s="9"/>
      <c r="D66" s="9"/>
      <c r="E66" s="9"/>
      <c r="F66" s="9"/>
      <c r="G66" s="9"/>
      <c r="H66" s="9"/>
      <c r="I66" s="11" t="str">
        <f>IF(A66="","",IF(COUNTIFS(Exception_Log!$B$5:$B$104,A66,Exception_Log!$H$5:$H$104,"&lt;&gt;Closed",Exception_Log!$F$5:$F$104,"*Critical*")&gt;0,"Audit - Issues Found",IF(COUNTIFS(Logistics_Log!$A$5:$A$104,A66,Logistics_Log!$H$5:$H$104,"🔴*")&gt;0,"Audit - Issues Found",IF(COUNTIFS(Manual_Check!$G$5:$G$104,A66,Manual_Check!$E$5:$E$104,"*Mismatch*")&gt;0,"Audit - Issues Found",IF(IFERROR(VLOOKUP(A66,Doc_Checklist!$A$5:$G$104,7,FALSE()),"")="Ready for Audit","Ready for Audit","Documents Pending")))))</f>
        <v/>
      </c>
      <c r="J66" s="9"/>
    </row>
    <row r="67" spans="1:10" ht="15" customHeight="1">
      <c r="A67" s="9"/>
      <c r="B67" s="9"/>
      <c r="C67" s="9"/>
      <c r="D67" s="9"/>
      <c r="E67" s="9"/>
      <c r="F67" s="9"/>
      <c r="G67" s="9"/>
      <c r="H67" s="9"/>
      <c r="I67" s="11" t="str">
        <f>IF(A67="","",IF(COUNTIFS(Exception_Log!$B$5:$B$104,A67,Exception_Log!$H$5:$H$104,"&lt;&gt;Closed",Exception_Log!$F$5:$F$104,"*Critical*")&gt;0,"Audit - Issues Found",IF(COUNTIFS(Logistics_Log!$A$5:$A$104,A67,Logistics_Log!$H$5:$H$104,"🔴*")&gt;0,"Audit - Issues Found",IF(COUNTIFS(Manual_Check!$G$5:$G$104,A67,Manual_Check!$E$5:$E$104,"*Mismatch*")&gt;0,"Audit - Issues Found",IF(IFERROR(VLOOKUP(A67,Doc_Checklist!$A$5:$G$104,7,FALSE()),"")="Ready for Audit","Ready for Audit","Documents Pending")))))</f>
        <v/>
      </c>
      <c r="J67" s="9"/>
    </row>
    <row r="68" spans="1:10" ht="15" customHeight="1">
      <c r="A68" s="9"/>
      <c r="B68" s="9"/>
      <c r="C68" s="9"/>
      <c r="D68" s="9"/>
      <c r="E68" s="9"/>
      <c r="F68" s="9"/>
      <c r="G68" s="9"/>
      <c r="H68" s="9"/>
      <c r="I68" s="11" t="str">
        <f>IF(A68="","",IF(COUNTIFS(Exception_Log!$B$5:$B$104,A68,Exception_Log!$H$5:$H$104,"&lt;&gt;Closed",Exception_Log!$F$5:$F$104,"*Critical*")&gt;0,"Audit - Issues Found",IF(COUNTIFS(Logistics_Log!$A$5:$A$104,A68,Logistics_Log!$H$5:$H$104,"🔴*")&gt;0,"Audit - Issues Found",IF(COUNTIFS(Manual_Check!$G$5:$G$104,A68,Manual_Check!$E$5:$E$104,"*Mismatch*")&gt;0,"Audit - Issues Found",IF(IFERROR(VLOOKUP(A68,Doc_Checklist!$A$5:$G$104,7,FALSE()),"")="Ready for Audit","Ready for Audit","Documents Pending")))))</f>
        <v/>
      </c>
      <c r="J68" s="9"/>
    </row>
    <row r="69" spans="1:10" ht="15" customHeight="1">
      <c r="A69" s="9"/>
      <c r="B69" s="9"/>
      <c r="C69" s="9"/>
      <c r="D69" s="9"/>
      <c r="E69" s="9"/>
      <c r="F69" s="9"/>
      <c r="G69" s="9"/>
      <c r="H69" s="9"/>
      <c r="I69" s="11" t="str">
        <f>IF(A69="","",IF(COUNTIFS(Exception_Log!$B$5:$B$104,A69,Exception_Log!$H$5:$H$104,"&lt;&gt;Closed",Exception_Log!$F$5:$F$104,"*Critical*")&gt;0,"Audit - Issues Found",IF(COUNTIFS(Logistics_Log!$A$5:$A$104,A69,Logistics_Log!$H$5:$H$104,"🔴*")&gt;0,"Audit - Issues Found",IF(COUNTIFS(Manual_Check!$G$5:$G$104,A69,Manual_Check!$E$5:$E$104,"*Mismatch*")&gt;0,"Audit - Issues Found",IF(IFERROR(VLOOKUP(A69,Doc_Checklist!$A$5:$G$104,7,FALSE()),"")="Ready for Audit","Ready for Audit","Documents Pending")))))</f>
        <v/>
      </c>
      <c r="J69" s="9"/>
    </row>
    <row r="70" spans="1:10" ht="15" customHeight="1">
      <c r="A70" s="9"/>
      <c r="B70" s="9"/>
      <c r="C70" s="9"/>
      <c r="D70" s="9"/>
      <c r="E70" s="9"/>
      <c r="F70" s="9"/>
      <c r="G70" s="9"/>
      <c r="H70" s="9"/>
      <c r="I70" s="11" t="str">
        <f>IF(A70="","",IF(COUNTIFS(Exception_Log!$B$5:$B$104,A70,Exception_Log!$H$5:$H$104,"&lt;&gt;Closed",Exception_Log!$F$5:$F$104,"*Critical*")&gt;0,"Audit - Issues Found",IF(COUNTIFS(Logistics_Log!$A$5:$A$104,A70,Logistics_Log!$H$5:$H$104,"🔴*")&gt;0,"Audit - Issues Found",IF(COUNTIFS(Manual_Check!$G$5:$G$104,A70,Manual_Check!$E$5:$E$104,"*Mismatch*")&gt;0,"Audit - Issues Found",IF(IFERROR(VLOOKUP(A70,Doc_Checklist!$A$5:$G$104,7,FALSE()),"")="Ready for Audit","Ready for Audit","Documents Pending")))))</f>
        <v/>
      </c>
      <c r="J70" s="9"/>
    </row>
    <row r="71" spans="1:10" ht="15" customHeight="1">
      <c r="A71" s="9"/>
      <c r="B71" s="9"/>
      <c r="C71" s="9"/>
      <c r="D71" s="9"/>
      <c r="E71" s="9"/>
      <c r="F71" s="9"/>
      <c r="G71" s="9"/>
      <c r="H71" s="9"/>
      <c r="I71" s="11" t="str">
        <f>IF(A71="","",IF(COUNTIFS(Exception_Log!$B$5:$B$104,A71,Exception_Log!$H$5:$H$104,"&lt;&gt;Closed",Exception_Log!$F$5:$F$104,"*Critical*")&gt;0,"Audit - Issues Found",IF(COUNTIFS(Logistics_Log!$A$5:$A$104,A71,Logistics_Log!$H$5:$H$104,"🔴*")&gt;0,"Audit - Issues Found",IF(COUNTIFS(Manual_Check!$G$5:$G$104,A71,Manual_Check!$E$5:$E$104,"*Mismatch*")&gt;0,"Audit - Issues Found",IF(IFERROR(VLOOKUP(A71,Doc_Checklist!$A$5:$G$104,7,FALSE()),"")="Ready for Audit","Ready for Audit","Documents Pending")))))</f>
        <v/>
      </c>
      <c r="J71" s="9"/>
    </row>
    <row r="72" spans="1:10" ht="15" customHeight="1">
      <c r="A72" s="9"/>
      <c r="B72" s="9"/>
      <c r="C72" s="9"/>
      <c r="D72" s="9"/>
      <c r="E72" s="9"/>
      <c r="F72" s="9"/>
      <c r="G72" s="9"/>
      <c r="H72" s="9"/>
      <c r="I72" s="11" t="str">
        <f>IF(A72="","",IF(COUNTIFS(Exception_Log!$B$5:$B$104,A72,Exception_Log!$H$5:$H$104,"&lt;&gt;Closed",Exception_Log!$F$5:$F$104,"*Critical*")&gt;0,"Audit - Issues Found",IF(COUNTIFS(Logistics_Log!$A$5:$A$104,A72,Logistics_Log!$H$5:$H$104,"🔴*")&gt;0,"Audit - Issues Found",IF(COUNTIFS(Manual_Check!$G$5:$G$104,A72,Manual_Check!$E$5:$E$104,"*Mismatch*")&gt;0,"Audit - Issues Found",IF(IFERROR(VLOOKUP(A72,Doc_Checklist!$A$5:$G$104,7,FALSE()),"")="Ready for Audit","Ready for Audit","Documents Pending")))))</f>
        <v/>
      </c>
      <c r="J72" s="9"/>
    </row>
    <row r="73" spans="1:10" ht="15" customHeight="1">
      <c r="A73" s="9"/>
      <c r="B73" s="9"/>
      <c r="C73" s="9"/>
      <c r="D73" s="9"/>
      <c r="E73" s="9"/>
      <c r="F73" s="9"/>
      <c r="G73" s="9"/>
      <c r="H73" s="9"/>
      <c r="I73" s="11" t="str">
        <f>IF(A73="","",IF(COUNTIFS(Exception_Log!$B$5:$B$104,A73,Exception_Log!$H$5:$H$104,"&lt;&gt;Closed",Exception_Log!$F$5:$F$104,"*Critical*")&gt;0,"Audit - Issues Found",IF(COUNTIFS(Logistics_Log!$A$5:$A$104,A73,Logistics_Log!$H$5:$H$104,"🔴*")&gt;0,"Audit - Issues Found",IF(COUNTIFS(Manual_Check!$G$5:$G$104,A73,Manual_Check!$E$5:$E$104,"*Mismatch*")&gt;0,"Audit - Issues Found",IF(IFERROR(VLOOKUP(A73,Doc_Checklist!$A$5:$G$104,7,FALSE()),"")="Ready for Audit","Ready for Audit","Documents Pending")))))</f>
        <v/>
      </c>
      <c r="J73" s="9"/>
    </row>
    <row r="74" spans="1:10" ht="15" customHeight="1">
      <c r="A74" s="9"/>
      <c r="B74" s="9"/>
      <c r="C74" s="9"/>
      <c r="D74" s="9"/>
      <c r="E74" s="9"/>
      <c r="F74" s="9"/>
      <c r="G74" s="9"/>
      <c r="H74" s="9"/>
      <c r="I74" s="11" t="str">
        <f>IF(A74="","",IF(COUNTIFS(Exception_Log!$B$5:$B$104,A74,Exception_Log!$H$5:$H$104,"&lt;&gt;Closed",Exception_Log!$F$5:$F$104,"*Critical*")&gt;0,"Audit - Issues Found",IF(COUNTIFS(Logistics_Log!$A$5:$A$104,A74,Logistics_Log!$H$5:$H$104,"🔴*")&gt;0,"Audit - Issues Found",IF(COUNTIFS(Manual_Check!$G$5:$G$104,A74,Manual_Check!$E$5:$E$104,"*Mismatch*")&gt;0,"Audit - Issues Found",IF(IFERROR(VLOOKUP(A74,Doc_Checklist!$A$5:$G$104,7,FALSE()),"")="Ready for Audit","Ready for Audit","Documents Pending")))))</f>
        <v/>
      </c>
      <c r="J74" s="9"/>
    </row>
    <row r="75" spans="1:10" ht="15" customHeight="1">
      <c r="A75" s="9"/>
      <c r="B75" s="9"/>
      <c r="C75" s="9"/>
      <c r="D75" s="9"/>
      <c r="E75" s="9"/>
      <c r="F75" s="9"/>
      <c r="G75" s="9"/>
      <c r="H75" s="9"/>
      <c r="I75" s="11" t="str">
        <f>IF(A75="","",IF(COUNTIFS(Exception_Log!$B$5:$B$104,A75,Exception_Log!$H$5:$H$104,"&lt;&gt;Closed",Exception_Log!$F$5:$F$104,"*Critical*")&gt;0,"Audit - Issues Found",IF(COUNTIFS(Logistics_Log!$A$5:$A$104,A75,Logistics_Log!$H$5:$H$104,"🔴*")&gt;0,"Audit - Issues Found",IF(COUNTIFS(Manual_Check!$G$5:$G$104,A75,Manual_Check!$E$5:$E$104,"*Mismatch*")&gt;0,"Audit - Issues Found",IF(IFERROR(VLOOKUP(A75,Doc_Checklist!$A$5:$G$104,7,FALSE()),"")="Ready for Audit","Ready for Audit","Documents Pending")))))</f>
        <v/>
      </c>
      <c r="J75" s="9"/>
    </row>
    <row r="76" spans="1:10" ht="15" customHeight="1">
      <c r="A76" s="9"/>
      <c r="B76" s="9"/>
      <c r="C76" s="9"/>
      <c r="D76" s="9"/>
      <c r="E76" s="9"/>
      <c r="F76" s="9"/>
      <c r="G76" s="9"/>
      <c r="H76" s="9"/>
      <c r="I76" s="11" t="str">
        <f>IF(A76="","",IF(COUNTIFS(Exception_Log!$B$5:$B$104,A76,Exception_Log!$H$5:$H$104,"&lt;&gt;Closed",Exception_Log!$F$5:$F$104,"*Critical*")&gt;0,"Audit - Issues Found",IF(COUNTIFS(Logistics_Log!$A$5:$A$104,A76,Logistics_Log!$H$5:$H$104,"🔴*")&gt;0,"Audit - Issues Found",IF(COUNTIFS(Manual_Check!$G$5:$G$104,A76,Manual_Check!$E$5:$E$104,"*Mismatch*")&gt;0,"Audit - Issues Found",IF(IFERROR(VLOOKUP(A76,Doc_Checklist!$A$5:$G$104,7,FALSE()),"")="Ready for Audit","Ready for Audit","Documents Pending")))))</f>
        <v/>
      </c>
      <c r="J76" s="9"/>
    </row>
    <row r="77" spans="1:10" ht="15" customHeight="1">
      <c r="A77" s="9"/>
      <c r="B77" s="9"/>
      <c r="C77" s="9"/>
      <c r="D77" s="9"/>
      <c r="E77" s="9"/>
      <c r="F77" s="9"/>
      <c r="G77" s="9"/>
      <c r="H77" s="9"/>
      <c r="I77" s="11" t="str">
        <f>IF(A77="","",IF(COUNTIFS(Exception_Log!$B$5:$B$104,A77,Exception_Log!$H$5:$H$104,"&lt;&gt;Closed",Exception_Log!$F$5:$F$104,"*Critical*")&gt;0,"Audit - Issues Found",IF(COUNTIFS(Logistics_Log!$A$5:$A$104,A77,Logistics_Log!$H$5:$H$104,"🔴*")&gt;0,"Audit - Issues Found",IF(COUNTIFS(Manual_Check!$G$5:$G$104,A77,Manual_Check!$E$5:$E$104,"*Mismatch*")&gt;0,"Audit - Issues Found",IF(IFERROR(VLOOKUP(A77,Doc_Checklist!$A$5:$G$104,7,FALSE()),"")="Ready for Audit","Ready for Audit","Documents Pending")))))</f>
        <v/>
      </c>
      <c r="J77" s="9"/>
    </row>
    <row r="78" spans="1:10" ht="15" customHeight="1">
      <c r="A78" s="9"/>
      <c r="B78" s="9"/>
      <c r="C78" s="9"/>
      <c r="D78" s="9"/>
      <c r="E78" s="9"/>
      <c r="F78" s="9"/>
      <c r="G78" s="9"/>
      <c r="H78" s="9"/>
      <c r="I78" s="11" t="str">
        <f>IF(A78="","",IF(COUNTIFS(Exception_Log!$B$5:$B$104,A78,Exception_Log!$H$5:$H$104,"&lt;&gt;Closed",Exception_Log!$F$5:$F$104,"*Critical*")&gt;0,"Audit - Issues Found",IF(COUNTIFS(Logistics_Log!$A$5:$A$104,A78,Logistics_Log!$H$5:$H$104,"🔴*")&gt;0,"Audit - Issues Found",IF(COUNTIFS(Manual_Check!$G$5:$G$104,A78,Manual_Check!$E$5:$E$104,"*Mismatch*")&gt;0,"Audit - Issues Found",IF(IFERROR(VLOOKUP(A78,Doc_Checklist!$A$5:$G$104,7,FALSE()),"")="Ready for Audit","Ready for Audit","Documents Pending")))))</f>
        <v/>
      </c>
      <c r="J78" s="9"/>
    </row>
    <row r="79" spans="1:10" ht="15" customHeight="1">
      <c r="A79" s="9"/>
      <c r="B79" s="9"/>
      <c r="C79" s="9"/>
      <c r="D79" s="9"/>
      <c r="E79" s="9"/>
      <c r="F79" s="9"/>
      <c r="G79" s="9"/>
      <c r="H79" s="9"/>
      <c r="I79" s="11" t="str">
        <f>IF(A79="","",IF(COUNTIFS(Exception_Log!$B$5:$B$104,A79,Exception_Log!$H$5:$H$104,"&lt;&gt;Closed",Exception_Log!$F$5:$F$104,"*Critical*")&gt;0,"Audit - Issues Found",IF(COUNTIFS(Logistics_Log!$A$5:$A$104,A79,Logistics_Log!$H$5:$H$104,"🔴*")&gt;0,"Audit - Issues Found",IF(COUNTIFS(Manual_Check!$G$5:$G$104,A79,Manual_Check!$E$5:$E$104,"*Mismatch*")&gt;0,"Audit - Issues Found",IF(IFERROR(VLOOKUP(A79,Doc_Checklist!$A$5:$G$104,7,FALSE()),"")="Ready for Audit","Ready for Audit","Documents Pending")))))</f>
        <v/>
      </c>
      <c r="J79" s="9"/>
    </row>
    <row r="80" spans="1:10" ht="15" customHeight="1">
      <c r="A80" s="9"/>
      <c r="B80" s="9"/>
      <c r="C80" s="9"/>
      <c r="D80" s="9"/>
      <c r="E80" s="9"/>
      <c r="F80" s="9"/>
      <c r="G80" s="9"/>
      <c r="H80" s="9"/>
      <c r="I80" s="11" t="str">
        <f>IF(A80="","",IF(COUNTIFS(Exception_Log!$B$5:$B$104,A80,Exception_Log!$H$5:$H$104,"&lt;&gt;Closed",Exception_Log!$F$5:$F$104,"*Critical*")&gt;0,"Audit - Issues Found",IF(COUNTIFS(Logistics_Log!$A$5:$A$104,A80,Logistics_Log!$H$5:$H$104,"🔴*")&gt;0,"Audit - Issues Found",IF(COUNTIFS(Manual_Check!$G$5:$G$104,A80,Manual_Check!$E$5:$E$104,"*Mismatch*")&gt;0,"Audit - Issues Found",IF(IFERROR(VLOOKUP(A80,Doc_Checklist!$A$5:$G$104,7,FALSE()),"")="Ready for Audit","Ready for Audit","Documents Pending")))))</f>
        <v/>
      </c>
      <c r="J80" s="9"/>
    </row>
    <row r="81" spans="1:10" ht="15" customHeight="1">
      <c r="A81" s="9"/>
      <c r="B81" s="9"/>
      <c r="C81" s="9"/>
      <c r="D81" s="9"/>
      <c r="E81" s="9"/>
      <c r="F81" s="9"/>
      <c r="G81" s="9"/>
      <c r="H81" s="9"/>
      <c r="I81" s="11" t="str">
        <f>IF(A81="","",IF(COUNTIFS(Exception_Log!$B$5:$B$104,A81,Exception_Log!$H$5:$H$104,"&lt;&gt;Closed",Exception_Log!$F$5:$F$104,"*Critical*")&gt;0,"Audit - Issues Found",IF(COUNTIFS(Logistics_Log!$A$5:$A$104,A81,Logistics_Log!$H$5:$H$104,"🔴*")&gt;0,"Audit - Issues Found",IF(COUNTIFS(Manual_Check!$G$5:$G$104,A81,Manual_Check!$E$5:$E$104,"*Mismatch*")&gt;0,"Audit - Issues Found",IF(IFERROR(VLOOKUP(A81,Doc_Checklist!$A$5:$G$104,7,FALSE()),"")="Ready for Audit","Ready for Audit","Documents Pending")))))</f>
        <v/>
      </c>
      <c r="J81" s="9"/>
    </row>
    <row r="82" spans="1:10" ht="15" customHeight="1">
      <c r="A82" s="9"/>
      <c r="B82" s="9"/>
      <c r="C82" s="9"/>
      <c r="D82" s="9"/>
      <c r="E82" s="9"/>
      <c r="F82" s="9"/>
      <c r="G82" s="9"/>
      <c r="H82" s="9"/>
      <c r="I82" s="11" t="str">
        <f>IF(A82="","",IF(COUNTIFS(Exception_Log!$B$5:$B$104,A82,Exception_Log!$H$5:$H$104,"&lt;&gt;Closed",Exception_Log!$F$5:$F$104,"*Critical*")&gt;0,"Audit - Issues Found",IF(COUNTIFS(Logistics_Log!$A$5:$A$104,A82,Logistics_Log!$H$5:$H$104,"🔴*")&gt;0,"Audit - Issues Found",IF(COUNTIFS(Manual_Check!$G$5:$G$104,A82,Manual_Check!$E$5:$E$104,"*Mismatch*")&gt;0,"Audit - Issues Found",IF(IFERROR(VLOOKUP(A82,Doc_Checklist!$A$5:$G$104,7,FALSE()),"")="Ready for Audit","Ready for Audit","Documents Pending")))))</f>
        <v/>
      </c>
      <c r="J82" s="9"/>
    </row>
    <row r="83" spans="1:10" ht="15" customHeight="1">
      <c r="A83" s="9"/>
      <c r="B83" s="9"/>
      <c r="C83" s="9"/>
      <c r="D83" s="9"/>
      <c r="E83" s="9"/>
      <c r="F83" s="9"/>
      <c r="G83" s="9"/>
      <c r="H83" s="9"/>
      <c r="I83" s="11" t="str">
        <f>IF(A83="","",IF(COUNTIFS(Exception_Log!$B$5:$B$104,A83,Exception_Log!$H$5:$H$104,"&lt;&gt;Closed",Exception_Log!$F$5:$F$104,"*Critical*")&gt;0,"Audit - Issues Found",IF(COUNTIFS(Logistics_Log!$A$5:$A$104,A83,Logistics_Log!$H$5:$H$104,"🔴*")&gt;0,"Audit - Issues Found",IF(COUNTIFS(Manual_Check!$G$5:$G$104,A83,Manual_Check!$E$5:$E$104,"*Mismatch*")&gt;0,"Audit - Issues Found",IF(IFERROR(VLOOKUP(A83,Doc_Checklist!$A$5:$G$104,7,FALSE()),"")="Ready for Audit","Ready for Audit","Documents Pending")))))</f>
        <v/>
      </c>
      <c r="J83" s="9"/>
    </row>
    <row r="84" spans="1:10" ht="15" customHeight="1">
      <c r="A84" s="9"/>
      <c r="B84" s="9"/>
      <c r="C84" s="9"/>
      <c r="D84" s="9"/>
      <c r="E84" s="9"/>
      <c r="F84" s="9"/>
      <c r="G84" s="9"/>
      <c r="H84" s="9"/>
      <c r="I84" s="11" t="str">
        <f>IF(A84="","",IF(COUNTIFS(Exception_Log!$B$5:$B$104,A84,Exception_Log!$H$5:$H$104,"&lt;&gt;Closed",Exception_Log!$F$5:$F$104,"*Critical*")&gt;0,"Audit - Issues Found",IF(COUNTIFS(Logistics_Log!$A$5:$A$104,A84,Logistics_Log!$H$5:$H$104,"🔴*")&gt;0,"Audit - Issues Found",IF(COUNTIFS(Manual_Check!$G$5:$G$104,A84,Manual_Check!$E$5:$E$104,"*Mismatch*")&gt;0,"Audit - Issues Found",IF(IFERROR(VLOOKUP(A84,Doc_Checklist!$A$5:$G$104,7,FALSE()),"")="Ready for Audit","Ready for Audit","Documents Pending")))))</f>
        <v/>
      </c>
      <c r="J84" s="9"/>
    </row>
    <row r="85" spans="1:10" ht="15" customHeight="1">
      <c r="A85" s="9"/>
      <c r="B85" s="9"/>
      <c r="C85" s="9"/>
      <c r="D85" s="9"/>
      <c r="E85" s="9"/>
      <c r="F85" s="9"/>
      <c r="G85" s="9"/>
      <c r="H85" s="9"/>
      <c r="I85" s="11" t="str">
        <f>IF(A85="","",IF(COUNTIFS(Exception_Log!$B$5:$B$104,A85,Exception_Log!$H$5:$H$104,"&lt;&gt;Closed",Exception_Log!$F$5:$F$104,"*Critical*")&gt;0,"Audit - Issues Found",IF(COUNTIFS(Logistics_Log!$A$5:$A$104,A85,Logistics_Log!$H$5:$H$104,"🔴*")&gt;0,"Audit - Issues Found",IF(COUNTIFS(Manual_Check!$G$5:$G$104,A85,Manual_Check!$E$5:$E$104,"*Mismatch*")&gt;0,"Audit - Issues Found",IF(IFERROR(VLOOKUP(A85,Doc_Checklist!$A$5:$G$104,7,FALSE()),"")="Ready for Audit","Ready for Audit","Documents Pending")))))</f>
        <v/>
      </c>
      <c r="J85" s="9"/>
    </row>
    <row r="86" spans="1:10" ht="15" customHeight="1">
      <c r="A86" s="9"/>
      <c r="B86" s="9"/>
      <c r="C86" s="9"/>
      <c r="D86" s="9"/>
      <c r="E86" s="9"/>
      <c r="F86" s="9"/>
      <c r="G86" s="9"/>
      <c r="H86" s="9"/>
      <c r="I86" s="11" t="str">
        <f>IF(A86="","",IF(COUNTIFS(Exception_Log!$B$5:$B$104,A86,Exception_Log!$H$5:$H$104,"&lt;&gt;Closed",Exception_Log!$F$5:$F$104,"*Critical*")&gt;0,"Audit - Issues Found",IF(COUNTIFS(Logistics_Log!$A$5:$A$104,A86,Logistics_Log!$H$5:$H$104,"🔴*")&gt;0,"Audit - Issues Found",IF(COUNTIFS(Manual_Check!$G$5:$G$104,A86,Manual_Check!$E$5:$E$104,"*Mismatch*")&gt;0,"Audit - Issues Found",IF(IFERROR(VLOOKUP(A86,Doc_Checklist!$A$5:$G$104,7,FALSE()),"")="Ready for Audit","Ready for Audit","Documents Pending")))))</f>
        <v/>
      </c>
      <c r="J86" s="9"/>
    </row>
    <row r="87" spans="1:10" ht="15" customHeight="1">
      <c r="A87" s="9"/>
      <c r="B87" s="9"/>
      <c r="C87" s="9"/>
      <c r="D87" s="9"/>
      <c r="E87" s="9"/>
      <c r="F87" s="9"/>
      <c r="G87" s="9"/>
      <c r="H87" s="9"/>
      <c r="I87" s="11" t="str">
        <f>IF(A87="","",IF(COUNTIFS(Exception_Log!$B$5:$B$104,A87,Exception_Log!$H$5:$H$104,"&lt;&gt;Closed",Exception_Log!$F$5:$F$104,"*Critical*")&gt;0,"Audit - Issues Found",IF(COUNTIFS(Logistics_Log!$A$5:$A$104,A87,Logistics_Log!$H$5:$H$104,"🔴*")&gt;0,"Audit - Issues Found",IF(COUNTIFS(Manual_Check!$G$5:$G$104,A87,Manual_Check!$E$5:$E$104,"*Mismatch*")&gt;0,"Audit - Issues Found",IF(IFERROR(VLOOKUP(A87,Doc_Checklist!$A$5:$G$104,7,FALSE()),"")="Ready for Audit","Ready for Audit","Documents Pending")))))</f>
        <v/>
      </c>
      <c r="J87" s="9"/>
    </row>
    <row r="88" spans="1:10" ht="15" customHeight="1">
      <c r="A88" s="9"/>
      <c r="B88" s="9"/>
      <c r="C88" s="9"/>
      <c r="D88" s="9"/>
      <c r="E88" s="9"/>
      <c r="F88" s="9"/>
      <c r="G88" s="9"/>
      <c r="H88" s="9"/>
      <c r="I88" s="11" t="str">
        <f>IF(A88="","",IF(COUNTIFS(Exception_Log!$B$5:$B$104,A88,Exception_Log!$H$5:$H$104,"&lt;&gt;Closed",Exception_Log!$F$5:$F$104,"*Critical*")&gt;0,"Audit - Issues Found",IF(COUNTIFS(Logistics_Log!$A$5:$A$104,A88,Logistics_Log!$H$5:$H$104,"🔴*")&gt;0,"Audit - Issues Found",IF(COUNTIFS(Manual_Check!$G$5:$G$104,A88,Manual_Check!$E$5:$E$104,"*Mismatch*")&gt;0,"Audit - Issues Found",IF(IFERROR(VLOOKUP(A88,Doc_Checklist!$A$5:$G$104,7,FALSE()),"")="Ready for Audit","Ready for Audit","Documents Pending")))))</f>
        <v/>
      </c>
      <c r="J88" s="9"/>
    </row>
    <row r="89" spans="1:10" ht="15" customHeight="1">
      <c r="A89" s="9"/>
      <c r="B89" s="9"/>
      <c r="C89" s="9"/>
      <c r="D89" s="9"/>
      <c r="E89" s="9"/>
      <c r="F89" s="9"/>
      <c r="G89" s="9"/>
      <c r="H89" s="9"/>
      <c r="I89" s="11" t="str">
        <f>IF(A89="","",IF(COUNTIFS(Exception_Log!$B$5:$B$104,A89,Exception_Log!$H$5:$H$104,"&lt;&gt;Closed",Exception_Log!$F$5:$F$104,"*Critical*")&gt;0,"Audit - Issues Found",IF(COUNTIFS(Logistics_Log!$A$5:$A$104,A89,Logistics_Log!$H$5:$H$104,"🔴*")&gt;0,"Audit - Issues Found",IF(COUNTIFS(Manual_Check!$G$5:$G$104,A89,Manual_Check!$E$5:$E$104,"*Mismatch*")&gt;0,"Audit - Issues Found",IF(IFERROR(VLOOKUP(A89,Doc_Checklist!$A$5:$G$104,7,FALSE()),"")="Ready for Audit","Ready for Audit","Documents Pending")))))</f>
        <v/>
      </c>
      <c r="J89" s="9"/>
    </row>
    <row r="90" spans="1:10" ht="15" customHeight="1">
      <c r="A90" s="9"/>
      <c r="B90" s="9"/>
      <c r="C90" s="9"/>
      <c r="D90" s="9"/>
      <c r="E90" s="9"/>
      <c r="F90" s="9"/>
      <c r="G90" s="9"/>
      <c r="H90" s="9"/>
      <c r="I90" s="11" t="str">
        <f>IF(A90="","",IF(COUNTIFS(Exception_Log!$B$5:$B$104,A90,Exception_Log!$H$5:$H$104,"&lt;&gt;Closed",Exception_Log!$F$5:$F$104,"*Critical*")&gt;0,"Audit - Issues Found",IF(COUNTIFS(Logistics_Log!$A$5:$A$104,A90,Logistics_Log!$H$5:$H$104,"🔴*")&gt;0,"Audit - Issues Found",IF(COUNTIFS(Manual_Check!$G$5:$G$104,A90,Manual_Check!$E$5:$E$104,"*Mismatch*")&gt;0,"Audit - Issues Found",IF(IFERROR(VLOOKUP(A90,Doc_Checklist!$A$5:$G$104,7,FALSE()),"")="Ready for Audit","Ready for Audit","Documents Pending")))))</f>
        <v/>
      </c>
      <c r="J90" s="9"/>
    </row>
    <row r="91" spans="1:10" ht="15" customHeight="1">
      <c r="A91" s="9"/>
      <c r="B91" s="9"/>
      <c r="C91" s="9"/>
      <c r="D91" s="9"/>
      <c r="E91" s="9"/>
      <c r="F91" s="9"/>
      <c r="G91" s="9"/>
      <c r="H91" s="9"/>
      <c r="I91" s="11" t="str">
        <f>IF(A91="","",IF(COUNTIFS(Exception_Log!$B$5:$B$104,A91,Exception_Log!$H$5:$H$104,"&lt;&gt;Closed",Exception_Log!$F$5:$F$104,"*Critical*")&gt;0,"Audit - Issues Found",IF(COUNTIFS(Logistics_Log!$A$5:$A$104,A91,Logistics_Log!$H$5:$H$104,"🔴*")&gt;0,"Audit - Issues Found",IF(COUNTIFS(Manual_Check!$G$5:$G$104,A91,Manual_Check!$E$5:$E$104,"*Mismatch*")&gt;0,"Audit - Issues Found",IF(IFERROR(VLOOKUP(A91,Doc_Checklist!$A$5:$G$104,7,FALSE()),"")="Ready for Audit","Ready for Audit","Documents Pending")))))</f>
        <v/>
      </c>
      <c r="J91" s="9"/>
    </row>
    <row r="92" spans="1:10" ht="15" customHeight="1">
      <c r="A92" s="9"/>
      <c r="B92" s="9"/>
      <c r="C92" s="9"/>
      <c r="D92" s="9"/>
      <c r="E92" s="9"/>
      <c r="F92" s="9"/>
      <c r="G92" s="9"/>
      <c r="H92" s="9"/>
      <c r="I92" s="11" t="str">
        <f>IF(A92="","",IF(COUNTIFS(Exception_Log!$B$5:$B$104,A92,Exception_Log!$H$5:$H$104,"&lt;&gt;Closed",Exception_Log!$F$5:$F$104,"*Critical*")&gt;0,"Audit - Issues Found",IF(COUNTIFS(Logistics_Log!$A$5:$A$104,A92,Logistics_Log!$H$5:$H$104,"🔴*")&gt;0,"Audit - Issues Found",IF(COUNTIFS(Manual_Check!$G$5:$G$104,A92,Manual_Check!$E$5:$E$104,"*Mismatch*")&gt;0,"Audit - Issues Found",IF(IFERROR(VLOOKUP(A92,Doc_Checklist!$A$5:$G$104,7,FALSE()),"")="Ready for Audit","Ready for Audit","Documents Pending")))))</f>
        <v/>
      </c>
      <c r="J92" s="9"/>
    </row>
    <row r="93" spans="1:10" ht="15" customHeight="1">
      <c r="A93" s="9"/>
      <c r="B93" s="9"/>
      <c r="C93" s="9"/>
      <c r="D93" s="9"/>
      <c r="E93" s="9"/>
      <c r="F93" s="9"/>
      <c r="G93" s="9"/>
      <c r="H93" s="9"/>
      <c r="I93" s="11" t="str">
        <f>IF(A93="","",IF(COUNTIFS(Exception_Log!$B$5:$B$104,A93,Exception_Log!$H$5:$H$104,"&lt;&gt;Closed",Exception_Log!$F$5:$F$104,"*Critical*")&gt;0,"Audit - Issues Found",IF(COUNTIFS(Logistics_Log!$A$5:$A$104,A93,Logistics_Log!$H$5:$H$104,"🔴*")&gt;0,"Audit - Issues Found",IF(COUNTIFS(Manual_Check!$G$5:$G$104,A93,Manual_Check!$E$5:$E$104,"*Mismatch*")&gt;0,"Audit - Issues Found",IF(IFERROR(VLOOKUP(A93,Doc_Checklist!$A$5:$G$104,7,FALSE()),"")="Ready for Audit","Ready for Audit","Documents Pending")))))</f>
        <v/>
      </c>
      <c r="J93" s="9"/>
    </row>
    <row r="94" spans="1:10" ht="15" customHeight="1">
      <c r="A94" s="9"/>
      <c r="B94" s="9"/>
      <c r="C94" s="9"/>
      <c r="D94" s="9"/>
      <c r="E94" s="9"/>
      <c r="F94" s="9"/>
      <c r="G94" s="9"/>
      <c r="H94" s="9"/>
      <c r="I94" s="11" t="str">
        <f>IF(A94="","",IF(COUNTIFS(Exception_Log!$B$5:$B$104,A94,Exception_Log!$H$5:$H$104,"&lt;&gt;Closed",Exception_Log!$F$5:$F$104,"*Critical*")&gt;0,"Audit - Issues Found",IF(COUNTIFS(Logistics_Log!$A$5:$A$104,A94,Logistics_Log!$H$5:$H$104,"🔴*")&gt;0,"Audit - Issues Found",IF(COUNTIFS(Manual_Check!$G$5:$G$104,A94,Manual_Check!$E$5:$E$104,"*Mismatch*")&gt;0,"Audit - Issues Found",IF(IFERROR(VLOOKUP(A94,Doc_Checklist!$A$5:$G$104,7,FALSE()),"")="Ready for Audit","Ready for Audit","Documents Pending")))))</f>
        <v/>
      </c>
      <c r="J94" s="9"/>
    </row>
    <row r="95" spans="1:10" ht="15" customHeight="1">
      <c r="A95" s="9"/>
      <c r="B95" s="9"/>
      <c r="C95" s="9"/>
      <c r="D95" s="9"/>
      <c r="E95" s="9"/>
      <c r="F95" s="9"/>
      <c r="G95" s="9"/>
      <c r="H95" s="9"/>
      <c r="I95" s="11" t="str">
        <f>IF(A95="","",IF(COUNTIFS(Exception_Log!$B$5:$B$104,A95,Exception_Log!$H$5:$H$104,"&lt;&gt;Closed",Exception_Log!$F$5:$F$104,"*Critical*")&gt;0,"Audit - Issues Found",IF(COUNTIFS(Logistics_Log!$A$5:$A$104,A95,Logistics_Log!$H$5:$H$104,"🔴*")&gt;0,"Audit - Issues Found",IF(COUNTIFS(Manual_Check!$G$5:$G$104,A95,Manual_Check!$E$5:$E$104,"*Mismatch*")&gt;0,"Audit - Issues Found",IF(IFERROR(VLOOKUP(A95,Doc_Checklist!$A$5:$G$104,7,FALSE()),"")="Ready for Audit","Ready for Audit","Documents Pending")))))</f>
        <v/>
      </c>
      <c r="J95" s="9"/>
    </row>
    <row r="96" spans="1:10" ht="15" customHeight="1">
      <c r="A96" s="9"/>
      <c r="B96" s="9"/>
      <c r="C96" s="9"/>
      <c r="D96" s="9"/>
      <c r="E96" s="9"/>
      <c r="F96" s="9"/>
      <c r="G96" s="9"/>
      <c r="H96" s="9"/>
      <c r="I96" s="11" t="str">
        <f>IF(A96="","",IF(COUNTIFS(Exception_Log!$B$5:$B$104,A96,Exception_Log!$H$5:$H$104,"&lt;&gt;Closed",Exception_Log!$F$5:$F$104,"*Critical*")&gt;0,"Audit - Issues Found",IF(COUNTIFS(Logistics_Log!$A$5:$A$104,A96,Logistics_Log!$H$5:$H$104,"🔴*")&gt;0,"Audit - Issues Found",IF(COUNTIFS(Manual_Check!$G$5:$G$104,A96,Manual_Check!$E$5:$E$104,"*Mismatch*")&gt;0,"Audit - Issues Found",IF(IFERROR(VLOOKUP(A96,Doc_Checklist!$A$5:$G$104,7,FALSE()),"")="Ready for Audit","Ready for Audit","Documents Pending")))))</f>
        <v/>
      </c>
      <c r="J96" s="9"/>
    </row>
    <row r="97" spans="1:10" ht="15" customHeight="1">
      <c r="A97" s="9"/>
      <c r="B97" s="9"/>
      <c r="C97" s="9"/>
      <c r="D97" s="9"/>
      <c r="E97" s="9"/>
      <c r="F97" s="9"/>
      <c r="G97" s="9"/>
      <c r="H97" s="9"/>
      <c r="I97" s="11" t="str">
        <f>IF(A97="","",IF(COUNTIFS(Exception_Log!$B$5:$B$104,A97,Exception_Log!$H$5:$H$104,"&lt;&gt;Closed",Exception_Log!$F$5:$F$104,"*Critical*")&gt;0,"Audit - Issues Found",IF(COUNTIFS(Logistics_Log!$A$5:$A$104,A97,Logistics_Log!$H$5:$H$104,"🔴*")&gt;0,"Audit - Issues Found",IF(COUNTIFS(Manual_Check!$G$5:$G$104,A97,Manual_Check!$E$5:$E$104,"*Mismatch*")&gt;0,"Audit - Issues Found",IF(IFERROR(VLOOKUP(A97,Doc_Checklist!$A$5:$G$104,7,FALSE()),"")="Ready for Audit","Ready for Audit","Documents Pending")))))</f>
        <v/>
      </c>
      <c r="J97" s="9"/>
    </row>
    <row r="98" spans="1:10" ht="15" customHeight="1">
      <c r="A98" s="9"/>
      <c r="B98" s="9"/>
      <c r="C98" s="9"/>
      <c r="D98" s="9"/>
      <c r="E98" s="9"/>
      <c r="F98" s="9"/>
      <c r="G98" s="9"/>
      <c r="H98" s="9"/>
      <c r="I98" s="11" t="str">
        <f>IF(A98="","",IF(COUNTIFS(Exception_Log!$B$5:$B$104,A98,Exception_Log!$H$5:$H$104,"&lt;&gt;Closed",Exception_Log!$F$5:$F$104,"*Critical*")&gt;0,"Audit - Issues Found",IF(COUNTIFS(Logistics_Log!$A$5:$A$104,A98,Logistics_Log!$H$5:$H$104,"🔴*")&gt;0,"Audit - Issues Found",IF(COUNTIFS(Manual_Check!$G$5:$G$104,A98,Manual_Check!$E$5:$E$104,"*Mismatch*")&gt;0,"Audit - Issues Found",IF(IFERROR(VLOOKUP(A98,Doc_Checklist!$A$5:$G$104,7,FALSE()),"")="Ready for Audit","Ready for Audit","Documents Pending")))))</f>
        <v/>
      </c>
      <c r="J98" s="9"/>
    </row>
    <row r="99" spans="1:10" ht="15" customHeight="1">
      <c r="A99" s="9"/>
      <c r="B99" s="9"/>
      <c r="C99" s="9"/>
      <c r="D99" s="9"/>
      <c r="E99" s="9"/>
      <c r="F99" s="9"/>
      <c r="G99" s="9"/>
      <c r="H99" s="9"/>
      <c r="I99" s="11" t="str">
        <f>IF(A99="","",IF(COUNTIFS(Exception_Log!$B$5:$B$104,A99,Exception_Log!$H$5:$H$104,"&lt;&gt;Closed",Exception_Log!$F$5:$F$104,"*Critical*")&gt;0,"Audit - Issues Found",IF(COUNTIFS(Logistics_Log!$A$5:$A$104,A99,Logistics_Log!$H$5:$H$104,"🔴*")&gt;0,"Audit - Issues Found",IF(COUNTIFS(Manual_Check!$G$5:$G$104,A99,Manual_Check!$E$5:$E$104,"*Mismatch*")&gt;0,"Audit - Issues Found",IF(IFERROR(VLOOKUP(A99,Doc_Checklist!$A$5:$G$104,7,FALSE()),"")="Ready for Audit","Ready for Audit","Documents Pending")))))</f>
        <v/>
      </c>
      <c r="J99" s="9"/>
    </row>
    <row r="100" spans="1:10" ht="15" customHeight="1">
      <c r="A100" s="9"/>
      <c r="B100" s="9"/>
      <c r="C100" s="9"/>
      <c r="D100" s="9"/>
      <c r="E100" s="9"/>
      <c r="F100" s="9"/>
      <c r="G100" s="9"/>
      <c r="H100" s="9"/>
      <c r="I100" s="11" t="str">
        <f>IF(A100="","",IF(COUNTIFS(Exception_Log!$B$5:$B$104,A100,Exception_Log!$H$5:$H$104,"&lt;&gt;Closed",Exception_Log!$F$5:$F$104,"*Critical*")&gt;0,"Audit - Issues Found",IF(COUNTIFS(Logistics_Log!$A$5:$A$104,A100,Logistics_Log!$H$5:$H$104,"🔴*")&gt;0,"Audit - Issues Found",IF(COUNTIFS(Manual_Check!$G$5:$G$104,A100,Manual_Check!$E$5:$E$104,"*Mismatch*")&gt;0,"Audit - Issues Found",IF(IFERROR(VLOOKUP(A100,Doc_Checklist!$A$5:$G$104,7,FALSE()),"")="Ready for Audit","Ready for Audit","Documents Pending")))))</f>
        <v/>
      </c>
      <c r="J100" s="9"/>
    </row>
    <row r="101" spans="1:10" ht="15" customHeight="1">
      <c r="A101" s="9"/>
      <c r="B101" s="9"/>
      <c r="C101" s="9"/>
      <c r="D101" s="9"/>
      <c r="E101" s="9"/>
      <c r="F101" s="9"/>
      <c r="G101" s="9"/>
      <c r="H101" s="9"/>
      <c r="I101" s="11" t="str">
        <f>IF(A101="","",IF(COUNTIFS(Exception_Log!$B$5:$B$104,A101,Exception_Log!$H$5:$H$104,"&lt;&gt;Closed",Exception_Log!$F$5:$F$104,"*Critical*")&gt;0,"Audit - Issues Found",IF(COUNTIFS(Logistics_Log!$A$5:$A$104,A101,Logistics_Log!$H$5:$H$104,"🔴*")&gt;0,"Audit - Issues Found",IF(COUNTIFS(Manual_Check!$G$5:$G$104,A101,Manual_Check!$E$5:$E$104,"*Mismatch*")&gt;0,"Audit - Issues Found",IF(IFERROR(VLOOKUP(A101,Doc_Checklist!$A$5:$G$104,7,FALSE()),"")="Ready for Audit","Ready for Audit","Documents Pending")))))</f>
        <v/>
      </c>
      <c r="J101" s="9"/>
    </row>
    <row r="102" spans="1:10" ht="15" customHeight="1">
      <c r="A102" s="9"/>
      <c r="B102" s="9"/>
      <c r="C102" s="9"/>
      <c r="D102" s="9"/>
      <c r="E102" s="9"/>
      <c r="F102" s="9"/>
      <c r="G102" s="9"/>
      <c r="H102" s="9"/>
      <c r="I102" s="11" t="str">
        <f>IF(A102="","",IF(COUNTIFS(Exception_Log!$B$5:$B$104,A102,Exception_Log!$H$5:$H$104,"&lt;&gt;Closed",Exception_Log!$F$5:$F$104,"*Critical*")&gt;0,"Audit - Issues Found",IF(COUNTIFS(Logistics_Log!$A$5:$A$104,A102,Logistics_Log!$H$5:$H$104,"🔴*")&gt;0,"Audit - Issues Found",IF(COUNTIFS(Manual_Check!$G$5:$G$104,A102,Manual_Check!$E$5:$E$104,"*Mismatch*")&gt;0,"Audit - Issues Found",IF(IFERROR(VLOOKUP(A102,Doc_Checklist!$A$5:$G$104,7,FALSE()),"")="Ready for Audit","Ready for Audit","Documents Pending")))))</f>
        <v/>
      </c>
      <c r="J102" s="9"/>
    </row>
    <row r="103" spans="1:10" ht="15" customHeight="1">
      <c r="A103" s="9"/>
      <c r="B103" s="9"/>
      <c r="C103" s="9"/>
      <c r="D103" s="9"/>
      <c r="E103" s="9"/>
      <c r="F103" s="9"/>
      <c r="G103" s="9"/>
      <c r="H103" s="9"/>
      <c r="I103" s="11" t="str">
        <f>IF(A103="","",IF(COUNTIFS(Exception_Log!$B$5:$B$104,A103,Exception_Log!$H$5:$H$104,"&lt;&gt;Closed",Exception_Log!$F$5:$F$104,"*Critical*")&gt;0,"Audit - Issues Found",IF(COUNTIFS(Logistics_Log!$A$5:$A$104,A103,Logistics_Log!$H$5:$H$104,"🔴*")&gt;0,"Audit - Issues Found",IF(COUNTIFS(Manual_Check!$G$5:$G$104,A103,Manual_Check!$E$5:$E$104,"*Mismatch*")&gt;0,"Audit - Issues Found",IF(IFERROR(VLOOKUP(A103,Doc_Checklist!$A$5:$G$104,7,FALSE()),"")="Ready for Audit","Ready for Audit","Documents Pending")))))</f>
        <v/>
      </c>
      <c r="J103" s="9"/>
    </row>
    <row r="104" spans="1:10" ht="15" customHeight="1">
      <c r="A104" s="9"/>
      <c r="B104" s="9"/>
      <c r="C104" s="9"/>
      <c r="D104" s="9"/>
      <c r="E104" s="9"/>
      <c r="F104" s="9"/>
      <c r="G104" s="9"/>
      <c r="H104" s="9"/>
      <c r="I104" s="11" t="str">
        <f>IF(A104="","",IF(COUNTIFS(Exception_Log!$B$5:$B$104,A104,Exception_Log!$H$5:$H$104,"&lt;&gt;Closed",Exception_Log!$F$5:$F$104,"*Critical*")&gt;0,"Audit - Issues Found",IF(COUNTIFS(Logistics_Log!$A$5:$A$104,A104,Logistics_Log!$H$5:$H$104,"🔴*")&gt;0,"Audit - Issues Found",IF(COUNTIFS(Manual_Check!$G$5:$G$104,A104,Manual_Check!$E$5:$E$104,"*Mismatch*")&gt;0,"Audit - Issues Found",IF(IFERROR(VLOOKUP(A104,Doc_Checklist!$A$5:$G$104,7,FALSE()),"")="Ready for Audit","Ready for Audit","Documents Pending")))))</f>
        <v/>
      </c>
      <c r="J104" s="9"/>
    </row>
    <row r="106" spans="1:10" ht="15" customHeight="1">
      <c r="A106" s="3" t="s">
        <v>40</v>
      </c>
      <c r="B106" s="3"/>
      <c r="C106" s="3"/>
      <c r="D106" s="3"/>
      <c r="E106" s="3"/>
      <c r="F106" s="3"/>
      <c r="G106" s="3"/>
      <c r="H106" s="3"/>
      <c r="I106" s="3"/>
      <c r="J106" s="3"/>
    </row>
  </sheetData>
  <mergeCells count="4">
    <mergeCell ref="A1:J1"/>
    <mergeCell ref="A2:J2"/>
    <mergeCell ref="A3:J3"/>
    <mergeCell ref="A106:J106"/>
  </mergeCells>
  <conditionalFormatting sqref="I5:I104">
    <cfRule type="expression" dxfId="17" priority="2">
      <formula>I5="Audit - Issues Found"</formula>
    </cfRule>
    <cfRule type="expression" dxfId="16" priority="3">
      <formula>I5="Ready for Audit"</formula>
    </cfRule>
  </conditionalFormatting>
  <pageMargins left="0.75" right="0.75" top="1" bottom="1" header="0.511811023622047" footer="0.51180555555555596"/>
  <pageSetup paperSize="9" orientation="portrait" horizontalDpi="300" verticalDpi="300"/>
  <headerFooter>
    <oddFooter>&amp;C&amp;8 Samim Craft — Export Shipment Control Workbook (v4) | certcraft25@gmail.com | Free validation build — not for redistribution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6"/>
  <sheetViews>
    <sheetView zoomScaleNormal="100" workbookViewId="0">
      <pane ySplit="4" topLeftCell="A5" activePane="bottomLeft" state="frozen"/>
      <selection pane="bottomLeft" activeCell="F10" sqref="F10"/>
    </sheetView>
  </sheetViews>
  <sheetFormatPr defaultColWidth="8.6328125" defaultRowHeight="14.5"/>
  <cols>
    <col min="1" max="1" width="18" style="7" customWidth="1"/>
    <col min="2" max="4" width="20" style="7" customWidth="1"/>
    <col min="5" max="5" width="22" style="7" customWidth="1"/>
    <col min="6" max="7" width="24" style="7" customWidth="1"/>
  </cols>
  <sheetData>
    <row r="1" spans="1:7" ht="17.25" customHeight="1">
      <c r="A1" s="6" t="s">
        <v>41</v>
      </c>
      <c r="B1" s="6"/>
      <c r="C1" s="6"/>
      <c r="D1" s="6"/>
      <c r="E1" s="6"/>
      <c r="F1" s="6"/>
      <c r="G1" s="6"/>
    </row>
    <row r="2" spans="1:7" ht="15" customHeight="1">
      <c r="A2" s="5" t="s">
        <v>1</v>
      </c>
      <c r="B2" s="5"/>
      <c r="C2" s="5"/>
      <c r="D2" s="5"/>
      <c r="E2" s="5"/>
      <c r="F2" s="5"/>
      <c r="G2" s="5"/>
    </row>
    <row r="4" spans="1:7" ht="23.25" customHeight="1">
      <c r="A4" s="8" t="s">
        <v>3</v>
      </c>
      <c r="B4" s="8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</row>
    <row r="5" spans="1:7" ht="15" customHeight="1">
      <c r="A5" s="9" t="s">
        <v>13</v>
      </c>
      <c r="B5" s="9" t="s">
        <v>48</v>
      </c>
      <c r="C5" s="9" t="s">
        <v>48</v>
      </c>
      <c r="D5" s="9" t="s">
        <v>49</v>
      </c>
      <c r="E5" s="9" t="s">
        <v>50</v>
      </c>
      <c r="F5" s="9" t="s">
        <v>51</v>
      </c>
      <c r="G5" s="11" t="str">
        <f t="shared" ref="G5:G36" si="0">IF(A5="","",IF(AND(B5="Final",C5="Final",D5="Approved",OR(E5="Not Required",E5="Received"),F5="LEO Passed"),"Ready for Audit","Documents Pending"))</f>
        <v>Ready for Audit</v>
      </c>
    </row>
    <row r="6" spans="1:7" ht="15" customHeight="1">
      <c r="A6" s="9" t="s">
        <v>19</v>
      </c>
      <c r="B6" s="9" t="s">
        <v>48</v>
      </c>
      <c r="C6" s="9" t="s">
        <v>48</v>
      </c>
      <c r="D6" s="9" t="s">
        <v>49</v>
      </c>
      <c r="E6" s="9" t="s">
        <v>50</v>
      </c>
      <c r="F6" s="9" t="s">
        <v>51</v>
      </c>
      <c r="G6" s="11" t="str">
        <f t="shared" si="0"/>
        <v>Ready for Audit</v>
      </c>
    </row>
    <row r="7" spans="1:7" ht="15" customHeight="1">
      <c r="A7" s="9" t="s">
        <v>25</v>
      </c>
      <c r="B7" s="9" t="s">
        <v>48</v>
      </c>
      <c r="C7" s="9" t="s">
        <v>52</v>
      </c>
      <c r="D7" s="9" t="s">
        <v>49</v>
      </c>
      <c r="E7" s="9" t="s">
        <v>53</v>
      </c>
      <c r="F7" s="9" t="s">
        <v>53</v>
      </c>
      <c r="G7" s="11" t="str">
        <f t="shared" si="0"/>
        <v>Documents Pending</v>
      </c>
    </row>
    <row r="8" spans="1:7" ht="15" customHeight="1">
      <c r="A8" s="9" t="s">
        <v>31</v>
      </c>
      <c r="B8" s="9" t="s">
        <v>48</v>
      </c>
      <c r="C8" s="9" t="s">
        <v>48</v>
      </c>
      <c r="D8" s="9" t="s">
        <v>49</v>
      </c>
      <c r="E8" s="9" t="s">
        <v>50</v>
      </c>
      <c r="F8" s="9" t="s">
        <v>51</v>
      </c>
      <c r="G8" s="11" t="str">
        <f t="shared" si="0"/>
        <v>Ready for Audit</v>
      </c>
    </row>
    <row r="9" spans="1:7" ht="15" customHeight="1">
      <c r="A9" s="7" t="s">
        <v>36</v>
      </c>
      <c r="B9" s="9" t="s">
        <v>48</v>
      </c>
      <c r="C9" s="9" t="s">
        <v>48</v>
      </c>
      <c r="D9" s="9" t="s">
        <v>49</v>
      </c>
      <c r="E9" s="9" t="s">
        <v>50</v>
      </c>
      <c r="F9" s="9" t="s">
        <v>51</v>
      </c>
      <c r="G9" s="11" t="str">
        <f t="shared" si="0"/>
        <v>Ready for Audit</v>
      </c>
    </row>
    <row r="10" spans="1:7" ht="15" customHeight="1">
      <c r="A10" t="s">
        <v>126</v>
      </c>
      <c r="B10" s="9" t="s">
        <v>48</v>
      </c>
      <c r="C10" s="9" t="s">
        <v>48</v>
      </c>
      <c r="D10" s="9" t="s">
        <v>49</v>
      </c>
      <c r="E10" s="9" t="s">
        <v>132</v>
      </c>
      <c r="F10" s="9" t="s">
        <v>51</v>
      </c>
      <c r="G10" s="11" t="str">
        <f t="shared" si="0"/>
        <v>Ready for Audit</v>
      </c>
    </row>
    <row r="11" spans="1:7" ht="15" customHeight="1">
      <c r="A11" s="9"/>
      <c r="B11" s="9"/>
      <c r="C11" s="9"/>
      <c r="D11" s="9"/>
      <c r="E11" s="9"/>
      <c r="F11" s="9"/>
      <c r="G11" s="11" t="str">
        <f t="shared" si="0"/>
        <v/>
      </c>
    </row>
    <row r="12" spans="1:7" ht="15" customHeight="1">
      <c r="A12" s="9"/>
      <c r="B12" s="9"/>
      <c r="C12" s="9"/>
      <c r="D12" s="9"/>
      <c r="E12" s="9"/>
      <c r="F12" s="9"/>
      <c r="G12" s="11" t="str">
        <f t="shared" si="0"/>
        <v/>
      </c>
    </row>
    <row r="13" spans="1:7" ht="15" customHeight="1">
      <c r="A13" s="9"/>
      <c r="B13" s="9"/>
      <c r="C13" s="9"/>
      <c r="D13" s="9"/>
      <c r="E13" s="9"/>
      <c r="F13" s="9"/>
      <c r="G13" s="11" t="str">
        <f t="shared" si="0"/>
        <v/>
      </c>
    </row>
    <row r="14" spans="1:7" ht="15" customHeight="1">
      <c r="A14" s="9"/>
      <c r="B14" s="9"/>
      <c r="C14" s="9"/>
      <c r="D14" s="9"/>
      <c r="E14" s="9"/>
      <c r="F14" s="9"/>
      <c r="G14" s="11" t="str">
        <f t="shared" si="0"/>
        <v/>
      </c>
    </row>
    <row r="15" spans="1:7" ht="15" customHeight="1">
      <c r="A15" s="9"/>
      <c r="B15" s="9"/>
      <c r="C15" s="9"/>
      <c r="D15" s="9"/>
      <c r="E15" s="9"/>
      <c r="F15" s="9"/>
      <c r="G15" s="11" t="str">
        <f t="shared" si="0"/>
        <v/>
      </c>
    </row>
    <row r="16" spans="1:7" ht="15" customHeight="1">
      <c r="A16" s="9"/>
      <c r="B16" s="9"/>
      <c r="C16" s="9"/>
      <c r="D16" s="9"/>
      <c r="E16" s="9"/>
      <c r="F16" s="9"/>
      <c r="G16" s="11" t="str">
        <f t="shared" si="0"/>
        <v/>
      </c>
    </row>
    <row r="17" spans="1:7" ht="15" customHeight="1">
      <c r="A17" s="9"/>
      <c r="B17" s="9"/>
      <c r="C17" s="9"/>
      <c r="D17" s="9"/>
      <c r="E17" s="9"/>
      <c r="F17" s="9"/>
      <c r="G17" s="11" t="str">
        <f t="shared" si="0"/>
        <v/>
      </c>
    </row>
    <row r="18" spans="1:7" ht="15" customHeight="1">
      <c r="A18" s="9"/>
      <c r="B18" s="9"/>
      <c r="C18" s="9"/>
      <c r="D18" s="9"/>
      <c r="E18" s="9"/>
      <c r="F18" s="9"/>
      <c r="G18" s="11" t="str">
        <f t="shared" si="0"/>
        <v/>
      </c>
    </row>
    <row r="19" spans="1:7" ht="15" customHeight="1">
      <c r="A19" s="9"/>
      <c r="B19" s="9"/>
      <c r="C19" s="9"/>
      <c r="D19" s="9"/>
      <c r="E19" s="9"/>
      <c r="F19" s="9"/>
      <c r="G19" s="11" t="str">
        <f t="shared" si="0"/>
        <v/>
      </c>
    </row>
    <row r="20" spans="1:7" ht="15" customHeight="1">
      <c r="A20" s="9"/>
      <c r="B20" s="9"/>
      <c r="C20" s="9"/>
      <c r="D20" s="9"/>
      <c r="E20" s="9"/>
      <c r="F20" s="9"/>
      <c r="G20" s="11" t="str">
        <f t="shared" si="0"/>
        <v/>
      </c>
    </row>
    <row r="21" spans="1:7" ht="15" customHeight="1">
      <c r="A21" s="9"/>
      <c r="B21" s="9"/>
      <c r="C21" s="9"/>
      <c r="D21" s="9"/>
      <c r="E21" s="9"/>
      <c r="F21" s="9"/>
      <c r="G21" s="11" t="str">
        <f t="shared" si="0"/>
        <v/>
      </c>
    </row>
    <row r="22" spans="1:7" ht="15" customHeight="1">
      <c r="A22" s="9"/>
      <c r="B22" s="9"/>
      <c r="C22" s="9"/>
      <c r="D22" s="9"/>
      <c r="E22" s="9"/>
      <c r="F22" s="9"/>
      <c r="G22" s="11" t="str">
        <f t="shared" si="0"/>
        <v/>
      </c>
    </row>
    <row r="23" spans="1:7" ht="15" customHeight="1">
      <c r="A23" s="9"/>
      <c r="B23" s="9"/>
      <c r="C23" s="9"/>
      <c r="D23" s="9"/>
      <c r="E23" s="9"/>
      <c r="F23" s="9"/>
      <c r="G23" s="11" t="str">
        <f t="shared" si="0"/>
        <v/>
      </c>
    </row>
    <row r="24" spans="1:7" ht="15" customHeight="1">
      <c r="A24" s="9"/>
      <c r="B24" s="9"/>
      <c r="C24" s="9"/>
      <c r="D24" s="9"/>
      <c r="E24" s="9"/>
      <c r="F24" s="9"/>
      <c r="G24" s="11" t="str">
        <f t="shared" si="0"/>
        <v/>
      </c>
    </row>
    <row r="25" spans="1:7" ht="15" customHeight="1">
      <c r="A25" s="9"/>
      <c r="B25" s="9"/>
      <c r="C25" s="9"/>
      <c r="D25" s="9"/>
      <c r="E25" s="9"/>
      <c r="F25" s="9"/>
      <c r="G25" s="11" t="str">
        <f t="shared" si="0"/>
        <v/>
      </c>
    </row>
    <row r="26" spans="1:7" ht="15" customHeight="1">
      <c r="A26" s="9"/>
      <c r="B26" s="9"/>
      <c r="C26" s="9"/>
      <c r="D26" s="9"/>
      <c r="E26" s="9"/>
      <c r="F26" s="9"/>
      <c r="G26" s="11" t="str">
        <f t="shared" si="0"/>
        <v/>
      </c>
    </row>
    <row r="27" spans="1:7" ht="15" customHeight="1">
      <c r="A27" s="9"/>
      <c r="B27" s="9"/>
      <c r="C27" s="9"/>
      <c r="D27" s="9"/>
      <c r="E27" s="9"/>
      <c r="F27" s="9"/>
      <c r="G27" s="11" t="str">
        <f t="shared" si="0"/>
        <v/>
      </c>
    </row>
    <row r="28" spans="1:7" ht="15" customHeight="1">
      <c r="A28" s="9"/>
      <c r="B28" s="9"/>
      <c r="C28" s="9"/>
      <c r="D28" s="9"/>
      <c r="E28" s="9"/>
      <c r="F28" s="9"/>
      <c r="G28" s="11" t="str">
        <f t="shared" si="0"/>
        <v/>
      </c>
    </row>
    <row r="29" spans="1:7" ht="15" customHeight="1">
      <c r="A29" s="9"/>
      <c r="B29" s="9"/>
      <c r="C29" s="9"/>
      <c r="D29" s="9"/>
      <c r="E29" s="9"/>
      <c r="F29" s="9"/>
      <c r="G29" s="11" t="str">
        <f t="shared" si="0"/>
        <v/>
      </c>
    </row>
    <row r="30" spans="1:7" ht="15" customHeight="1">
      <c r="A30" s="9"/>
      <c r="B30" s="9"/>
      <c r="C30" s="9"/>
      <c r="D30" s="9"/>
      <c r="E30" s="9"/>
      <c r="F30" s="9"/>
      <c r="G30" s="11" t="str">
        <f t="shared" si="0"/>
        <v/>
      </c>
    </row>
    <row r="31" spans="1:7" ht="15" customHeight="1">
      <c r="A31" s="9"/>
      <c r="B31" s="9"/>
      <c r="C31" s="9"/>
      <c r="D31" s="9"/>
      <c r="E31" s="9"/>
      <c r="F31" s="9"/>
      <c r="G31" s="11" t="str">
        <f t="shared" si="0"/>
        <v/>
      </c>
    </row>
    <row r="32" spans="1:7" ht="15" customHeight="1">
      <c r="A32" s="9"/>
      <c r="B32" s="9"/>
      <c r="C32" s="9"/>
      <c r="D32" s="9"/>
      <c r="E32" s="9"/>
      <c r="F32" s="9"/>
      <c r="G32" s="11" t="str">
        <f t="shared" si="0"/>
        <v/>
      </c>
    </row>
    <row r="33" spans="1:7" ht="15" customHeight="1">
      <c r="A33" s="9"/>
      <c r="B33" s="9"/>
      <c r="C33" s="9"/>
      <c r="D33" s="9"/>
      <c r="E33" s="9"/>
      <c r="F33" s="9"/>
      <c r="G33" s="11" t="str">
        <f t="shared" si="0"/>
        <v/>
      </c>
    </row>
    <row r="34" spans="1:7" ht="15" customHeight="1">
      <c r="A34" s="9"/>
      <c r="B34" s="9"/>
      <c r="C34" s="9"/>
      <c r="D34" s="9"/>
      <c r="E34" s="9"/>
      <c r="F34" s="9"/>
      <c r="G34" s="11" t="str">
        <f t="shared" si="0"/>
        <v/>
      </c>
    </row>
    <row r="35" spans="1:7" ht="15" customHeight="1">
      <c r="A35" s="9"/>
      <c r="B35" s="9"/>
      <c r="C35" s="9"/>
      <c r="D35" s="9"/>
      <c r="E35" s="9"/>
      <c r="F35" s="9"/>
      <c r="G35" s="11" t="str">
        <f t="shared" si="0"/>
        <v/>
      </c>
    </row>
    <row r="36" spans="1:7" ht="15" customHeight="1">
      <c r="A36" s="9"/>
      <c r="B36" s="9"/>
      <c r="C36" s="9"/>
      <c r="D36" s="9"/>
      <c r="E36" s="9"/>
      <c r="F36" s="9"/>
      <c r="G36" s="11" t="str">
        <f t="shared" si="0"/>
        <v/>
      </c>
    </row>
    <row r="37" spans="1:7" ht="15" customHeight="1">
      <c r="A37" s="9"/>
      <c r="B37" s="9"/>
      <c r="C37" s="9"/>
      <c r="D37" s="9"/>
      <c r="E37" s="9"/>
      <c r="F37" s="9"/>
      <c r="G37" s="11" t="str">
        <f t="shared" ref="G37:G68" si="1">IF(A37="","",IF(AND(B37="Final",C37="Final",D37="Approved",OR(E37="Not Required",E37="Received"),F37="LEO Passed"),"Ready for Audit","Documents Pending"))</f>
        <v/>
      </c>
    </row>
    <row r="38" spans="1:7" ht="15" customHeight="1">
      <c r="A38" s="9"/>
      <c r="B38" s="9"/>
      <c r="C38" s="9"/>
      <c r="D38" s="9"/>
      <c r="E38" s="9"/>
      <c r="F38" s="9"/>
      <c r="G38" s="11" t="str">
        <f t="shared" si="1"/>
        <v/>
      </c>
    </row>
    <row r="39" spans="1:7" ht="15" customHeight="1">
      <c r="A39" s="9"/>
      <c r="B39" s="9"/>
      <c r="C39" s="9"/>
      <c r="D39" s="9"/>
      <c r="E39" s="9"/>
      <c r="F39" s="9"/>
      <c r="G39" s="11" t="str">
        <f t="shared" si="1"/>
        <v/>
      </c>
    </row>
    <row r="40" spans="1:7" ht="15" customHeight="1">
      <c r="A40" s="9"/>
      <c r="B40" s="9"/>
      <c r="C40" s="9"/>
      <c r="D40" s="9"/>
      <c r="E40" s="9"/>
      <c r="F40" s="9"/>
      <c r="G40" s="11" t="str">
        <f t="shared" si="1"/>
        <v/>
      </c>
    </row>
    <row r="41" spans="1:7" ht="15" customHeight="1">
      <c r="A41" s="9"/>
      <c r="B41" s="9"/>
      <c r="C41" s="9"/>
      <c r="D41" s="9"/>
      <c r="E41" s="9"/>
      <c r="F41" s="9"/>
      <c r="G41" s="11" t="str">
        <f t="shared" si="1"/>
        <v/>
      </c>
    </row>
    <row r="42" spans="1:7" ht="15" customHeight="1">
      <c r="A42" s="9"/>
      <c r="B42" s="9"/>
      <c r="C42" s="9"/>
      <c r="D42" s="9"/>
      <c r="E42" s="9"/>
      <c r="F42" s="9"/>
      <c r="G42" s="11" t="str">
        <f t="shared" si="1"/>
        <v/>
      </c>
    </row>
    <row r="43" spans="1:7" ht="15" customHeight="1">
      <c r="A43" s="9"/>
      <c r="B43" s="9"/>
      <c r="C43" s="9"/>
      <c r="D43" s="9"/>
      <c r="E43" s="9"/>
      <c r="F43" s="9"/>
      <c r="G43" s="11" t="str">
        <f t="shared" si="1"/>
        <v/>
      </c>
    </row>
    <row r="44" spans="1:7" ht="15" customHeight="1">
      <c r="A44" s="9"/>
      <c r="B44" s="9"/>
      <c r="C44" s="9"/>
      <c r="D44" s="9"/>
      <c r="E44" s="9"/>
      <c r="F44" s="9"/>
      <c r="G44" s="11" t="str">
        <f t="shared" si="1"/>
        <v/>
      </c>
    </row>
    <row r="45" spans="1:7" ht="15" customHeight="1">
      <c r="A45" s="9"/>
      <c r="B45" s="9"/>
      <c r="C45" s="9"/>
      <c r="D45" s="9"/>
      <c r="E45" s="9"/>
      <c r="F45" s="9"/>
      <c r="G45" s="11" t="str">
        <f t="shared" si="1"/>
        <v/>
      </c>
    </row>
    <row r="46" spans="1:7" ht="15" customHeight="1">
      <c r="A46" s="9"/>
      <c r="B46" s="9"/>
      <c r="C46" s="9"/>
      <c r="D46" s="9"/>
      <c r="E46" s="9"/>
      <c r="F46" s="9"/>
      <c r="G46" s="11" t="str">
        <f t="shared" si="1"/>
        <v/>
      </c>
    </row>
    <row r="47" spans="1:7" ht="15" customHeight="1">
      <c r="A47" s="9"/>
      <c r="B47" s="9"/>
      <c r="C47" s="9"/>
      <c r="D47" s="9"/>
      <c r="E47" s="9"/>
      <c r="F47" s="9"/>
      <c r="G47" s="11" t="str">
        <f t="shared" si="1"/>
        <v/>
      </c>
    </row>
    <row r="48" spans="1:7" ht="15" customHeight="1">
      <c r="A48" s="9"/>
      <c r="B48" s="9"/>
      <c r="C48" s="9"/>
      <c r="D48" s="9"/>
      <c r="E48" s="9"/>
      <c r="F48" s="9"/>
      <c r="G48" s="11" t="str">
        <f t="shared" si="1"/>
        <v/>
      </c>
    </row>
    <row r="49" spans="1:7" ht="15" customHeight="1">
      <c r="A49" s="9"/>
      <c r="B49" s="9"/>
      <c r="C49" s="9"/>
      <c r="D49" s="9"/>
      <c r="E49" s="9"/>
      <c r="F49" s="9"/>
      <c r="G49" s="11" t="str">
        <f t="shared" si="1"/>
        <v/>
      </c>
    </row>
    <row r="50" spans="1:7" ht="15" customHeight="1">
      <c r="A50" s="9"/>
      <c r="B50" s="9"/>
      <c r="C50" s="9"/>
      <c r="D50" s="9"/>
      <c r="E50" s="9"/>
      <c r="F50" s="9"/>
      <c r="G50" s="11" t="str">
        <f t="shared" si="1"/>
        <v/>
      </c>
    </row>
    <row r="51" spans="1:7" ht="15" customHeight="1">
      <c r="A51" s="9"/>
      <c r="B51" s="9"/>
      <c r="C51" s="9"/>
      <c r="D51" s="9"/>
      <c r="E51" s="9"/>
      <c r="F51" s="9"/>
      <c r="G51" s="11" t="str">
        <f t="shared" si="1"/>
        <v/>
      </c>
    </row>
    <row r="52" spans="1:7" ht="15" customHeight="1">
      <c r="A52" s="9"/>
      <c r="B52" s="9"/>
      <c r="C52" s="9"/>
      <c r="D52" s="9"/>
      <c r="E52" s="9"/>
      <c r="F52" s="9"/>
      <c r="G52" s="11" t="str">
        <f t="shared" si="1"/>
        <v/>
      </c>
    </row>
    <row r="53" spans="1:7" ht="15" customHeight="1">
      <c r="A53" s="9"/>
      <c r="B53" s="9"/>
      <c r="C53" s="9"/>
      <c r="D53" s="9"/>
      <c r="E53" s="9"/>
      <c r="F53" s="9"/>
      <c r="G53" s="11" t="str">
        <f t="shared" si="1"/>
        <v/>
      </c>
    </row>
    <row r="54" spans="1:7" ht="15" customHeight="1">
      <c r="A54" s="9"/>
      <c r="B54" s="9"/>
      <c r="C54" s="9"/>
      <c r="D54" s="9"/>
      <c r="E54" s="9"/>
      <c r="F54" s="9"/>
      <c r="G54" s="11" t="str">
        <f t="shared" si="1"/>
        <v/>
      </c>
    </row>
    <row r="55" spans="1:7" ht="15" customHeight="1">
      <c r="A55" s="9"/>
      <c r="B55" s="9"/>
      <c r="C55" s="9"/>
      <c r="D55" s="9"/>
      <c r="E55" s="9"/>
      <c r="F55" s="9"/>
      <c r="G55" s="11" t="str">
        <f t="shared" si="1"/>
        <v/>
      </c>
    </row>
    <row r="56" spans="1:7" ht="15" customHeight="1">
      <c r="A56" s="9"/>
      <c r="B56" s="9"/>
      <c r="C56" s="9"/>
      <c r="D56" s="9"/>
      <c r="E56" s="9"/>
      <c r="F56" s="9"/>
      <c r="G56" s="11" t="str">
        <f t="shared" si="1"/>
        <v/>
      </c>
    </row>
    <row r="57" spans="1:7" ht="15" customHeight="1">
      <c r="A57" s="9"/>
      <c r="B57" s="9"/>
      <c r="C57" s="9"/>
      <c r="D57" s="9"/>
      <c r="E57" s="9"/>
      <c r="F57" s="9"/>
      <c r="G57" s="11" t="str">
        <f t="shared" si="1"/>
        <v/>
      </c>
    </row>
    <row r="58" spans="1:7" ht="15" customHeight="1">
      <c r="A58" s="9"/>
      <c r="B58" s="9"/>
      <c r="C58" s="9"/>
      <c r="D58" s="9"/>
      <c r="E58" s="9"/>
      <c r="F58" s="9"/>
      <c r="G58" s="11" t="str">
        <f t="shared" si="1"/>
        <v/>
      </c>
    </row>
    <row r="59" spans="1:7" ht="15" customHeight="1">
      <c r="A59" s="9"/>
      <c r="B59" s="9"/>
      <c r="C59" s="9"/>
      <c r="D59" s="9"/>
      <c r="E59" s="9"/>
      <c r="F59" s="9"/>
      <c r="G59" s="11" t="str">
        <f t="shared" si="1"/>
        <v/>
      </c>
    </row>
    <row r="60" spans="1:7" ht="15" customHeight="1">
      <c r="A60" s="9"/>
      <c r="B60" s="9"/>
      <c r="C60" s="9"/>
      <c r="D60" s="9"/>
      <c r="E60" s="9"/>
      <c r="F60" s="9"/>
      <c r="G60" s="11" t="str">
        <f t="shared" si="1"/>
        <v/>
      </c>
    </row>
    <row r="61" spans="1:7" ht="15" customHeight="1">
      <c r="A61" s="9"/>
      <c r="B61" s="9"/>
      <c r="C61" s="9"/>
      <c r="D61" s="9"/>
      <c r="E61" s="9"/>
      <c r="F61" s="9"/>
      <c r="G61" s="11" t="str">
        <f t="shared" si="1"/>
        <v/>
      </c>
    </row>
    <row r="62" spans="1:7" ht="15" customHeight="1">
      <c r="A62" s="9"/>
      <c r="B62" s="9"/>
      <c r="C62" s="9"/>
      <c r="D62" s="9"/>
      <c r="E62" s="9"/>
      <c r="F62" s="9"/>
      <c r="G62" s="11" t="str">
        <f t="shared" si="1"/>
        <v/>
      </c>
    </row>
    <row r="63" spans="1:7" ht="15" customHeight="1">
      <c r="A63" s="9"/>
      <c r="B63" s="9"/>
      <c r="C63" s="9"/>
      <c r="D63" s="9"/>
      <c r="E63" s="9"/>
      <c r="F63" s="9"/>
      <c r="G63" s="11" t="str">
        <f t="shared" si="1"/>
        <v/>
      </c>
    </row>
    <row r="64" spans="1:7" ht="15" customHeight="1">
      <c r="A64" s="9"/>
      <c r="B64" s="9"/>
      <c r="C64" s="9"/>
      <c r="D64" s="9"/>
      <c r="E64" s="9"/>
      <c r="F64" s="9"/>
      <c r="G64" s="11" t="str">
        <f t="shared" si="1"/>
        <v/>
      </c>
    </row>
    <row r="65" spans="1:7" ht="15" customHeight="1">
      <c r="A65" s="9"/>
      <c r="B65" s="9"/>
      <c r="C65" s="9"/>
      <c r="D65" s="9"/>
      <c r="E65" s="9"/>
      <c r="F65" s="9"/>
      <c r="G65" s="11" t="str">
        <f t="shared" si="1"/>
        <v/>
      </c>
    </row>
    <row r="66" spans="1:7" ht="15" customHeight="1">
      <c r="A66" s="9"/>
      <c r="B66" s="9"/>
      <c r="C66" s="9"/>
      <c r="D66" s="9"/>
      <c r="E66" s="9"/>
      <c r="F66" s="9"/>
      <c r="G66" s="11" t="str">
        <f t="shared" si="1"/>
        <v/>
      </c>
    </row>
    <row r="67" spans="1:7" ht="15" customHeight="1">
      <c r="A67" s="9"/>
      <c r="B67" s="9"/>
      <c r="C67" s="9"/>
      <c r="D67" s="9"/>
      <c r="E67" s="9"/>
      <c r="F67" s="9"/>
      <c r="G67" s="11" t="str">
        <f t="shared" si="1"/>
        <v/>
      </c>
    </row>
    <row r="68" spans="1:7" ht="15" customHeight="1">
      <c r="A68" s="9"/>
      <c r="B68" s="9"/>
      <c r="C68" s="9"/>
      <c r="D68" s="9"/>
      <c r="E68" s="9"/>
      <c r="F68" s="9"/>
      <c r="G68" s="11" t="str">
        <f t="shared" si="1"/>
        <v/>
      </c>
    </row>
    <row r="69" spans="1:7" ht="15" customHeight="1">
      <c r="A69" s="9"/>
      <c r="B69" s="9"/>
      <c r="C69" s="9"/>
      <c r="D69" s="9"/>
      <c r="E69" s="9"/>
      <c r="F69" s="9"/>
      <c r="G69" s="11" t="str">
        <f t="shared" ref="G69:G100" si="2">IF(A69="","",IF(AND(B69="Final",C69="Final",D69="Approved",OR(E69="Not Required",E69="Received"),F69="LEO Passed"),"Ready for Audit","Documents Pending"))</f>
        <v/>
      </c>
    </row>
    <row r="70" spans="1:7" ht="15" customHeight="1">
      <c r="A70" s="9"/>
      <c r="B70" s="9"/>
      <c r="C70" s="9"/>
      <c r="D70" s="9"/>
      <c r="E70" s="9"/>
      <c r="F70" s="9"/>
      <c r="G70" s="11" t="str">
        <f t="shared" si="2"/>
        <v/>
      </c>
    </row>
    <row r="71" spans="1:7" ht="15" customHeight="1">
      <c r="A71" s="9"/>
      <c r="B71" s="9"/>
      <c r="C71" s="9"/>
      <c r="D71" s="9"/>
      <c r="E71" s="9"/>
      <c r="F71" s="9"/>
      <c r="G71" s="11" t="str">
        <f t="shared" si="2"/>
        <v/>
      </c>
    </row>
    <row r="72" spans="1:7" ht="15" customHeight="1">
      <c r="A72" s="9"/>
      <c r="B72" s="9"/>
      <c r="C72" s="9"/>
      <c r="D72" s="9"/>
      <c r="E72" s="9"/>
      <c r="F72" s="9"/>
      <c r="G72" s="11" t="str">
        <f t="shared" si="2"/>
        <v/>
      </c>
    </row>
    <row r="73" spans="1:7" ht="15" customHeight="1">
      <c r="A73" s="9"/>
      <c r="B73" s="9"/>
      <c r="C73" s="9"/>
      <c r="D73" s="9"/>
      <c r="E73" s="9"/>
      <c r="F73" s="9"/>
      <c r="G73" s="11" t="str">
        <f t="shared" si="2"/>
        <v/>
      </c>
    </row>
    <row r="74" spans="1:7" ht="15" customHeight="1">
      <c r="A74" s="9"/>
      <c r="B74" s="9"/>
      <c r="C74" s="9"/>
      <c r="D74" s="9"/>
      <c r="E74" s="9"/>
      <c r="F74" s="9"/>
      <c r="G74" s="11" t="str">
        <f t="shared" si="2"/>
        <v/>
      </c>
    </row>
    <row r="75" spans="1:7" ht="15" customHeight="1">
      <c r="A75" s="9"/>
      <c r="B75" s="9"/>
      <c r="C75" s="9"/>
      <c r="D75" s="9"/>
      <c r="E75" s="9"/>
      <c r="F75" s="9"/>
      <c r="G75" s="11" t="str">
        <f t="shared" si="2"/>
        <v/>
      </c>
    </row>
    <row r="76" spans="1:7" ht="15" customHeight="1">
      <c r="A76" s="9"/>
      <c r="B76" s="9"/>
      <c r="C76" s="9"/>
      <c r="D76" s="9"/>
      <c r="E76" s="9"/>
      <c r="F76" s="9"/>
      <c r="G76" s="11" t="str">
        <f t="shared" si="2"/>
        <v/>
      </c>
    </row>
    <row r="77" spans="1:7" ht="15" customHeight="1">
      <c r="A77" s="9"/>
      <c r="B77" s="9"/>
      <c r="C77" s="9"/>
      <c r="D77" s="9"/>
      <c r="E77" s="9"/>
      <c r="F77" s="9"/>
      <c r="G77" s="11" t="str">
        <f t="shared" si="2"/>
        <v/>
      </c>
    </row>
    <row r="78" spans="1:7" ht="15" customHeight="1">
      <c r="A78" s="9"/>
      <c r="B78" s="9"/>
      <c r="C78" s="9"/>
      <c r="D78" s="9"/>
      <c r="E78" s="9"/>
      <c r="F78" s="9"/>
      <c r="G78" s="11" t="str">
        <f t="shared" si="2"/>
        <v/>
      </c>
    </row>
    <row r="79" spans="1:7" ht="15" customHeight="1">
      <c r="A79" s="9"/>
      <c r="B79" s="9"/>
      <c r="C79" s="9"/>
      <c r="D79" s="9"/>
      <c r="E79" s="9"/>
      <c r="F79" s="9"/>
      <c r="G79" s="11" t="str">
        <f t="shared" si="2"/>
        <v/>
      </c>
    </row>
    <row r="80" spans="1:7" ht="15" customHeight="1">
      <c r="A80" s="9"/>
      <c r="B80" s="9"/>
      <c r="C80" s="9"/>
      <c r="D80" s="9"/>
      <c r="E80" s="9"/>
      <c r="F80" s="9"/>
      <c r="G80" s="11" t="str">
        <f t="shared" si="2"/>
        <v/>
      </c>
    </row>
    <row r="81" spans="1:7" ht="15" customHeight="1">
      <c r="A81" s="9"/>
      <c r="B81" s="9"/>
      <c r="C81" s="9"/>
      <c r="D81" s="9"/>
      <c r="E81" s="9"/>
      <c r="F81" s="9"/>
      <c r="G81" s="11" t="str">
        <f t="shared" si="2"/>
        <v/>
      </c>
    </row>
    <row r="82" spans="1:7" ht="15" customHeight="1">
      <c r="A82" s="9"/>
      <c r="B82" s="9"/>
      <c r="C82" s="9"/>
      <c r="D82" s="9"/>
      <c r="E82" s="9"/>
      <c r="F82" s="9"/>
      <c r="G82" s="11" t="str">
        <f t="shared" si="2"/>
        <v/>
      </c>
    </row>
    <row r="83" spans="1:7" ht="15" customHeight="1">
      <c r="A83" s="9"/>
      <c r="B83" s="9"/>
      <c r="C83" s="9"/>
      <c r="D83" s="9"/>
      <c r="E83" s="9"/>
      <c r="F83" s="9"/>
      <c r="G83" s="11" t="str">
        <f t="shared" si="2"/>
        <v/>
      </c>
    </row>
    <row r="84" spans="1:7" ht="15" customHeight="1">
      <c r="A84" s="9"/>
      <c r="B84" s="9"/>
      <c r="C84" s="9"/>
      <c r="D84" s="9"/>
      <c r="E84" s="9"/>
      <c r="F84" s="9"/>
      <c r="G84" s="11" t="str">
        <f t="shared" si="2"/>
        <v/>
      </c>
    </row>
    <row r="85" spans="1:7" ht="15" customHeight="1">
      <c r="A85" s="9"/>
      <c r="B85" s="9"/>
      <c r="C85" s="9"/>
      <c r="D85" s="9"/>
      <c r="E85" s="9"/>
      <c r="F85" s="9"/>
      <c r="G85" s="11" t="str">
        <f t="shared" si="2"/>
        <v/>
      </c>
    </row>
    <row r="86" spans="1:7" ht="15" customHeight="1">
      <c r="A86" s="9"/>
      <c r="B86" s="9"/>
      <c r="C86" s="9"/>
      <c r="D86" s="9"/>
      <c r="E86" s="9"/>
      <c r="F86" s="9"/>
      <c r="G86" s="11" t="str">
        <f t="shared" si="2"/>
        <v/>
      </c>
    </row>
    <row r="87" spans="1:7" ht="15" customHeight="1">
      <c r="A87" s="9"/>
      <c r="B87" s="9"/>
      <c r="C87" s="9"/>
      <c r="D87" s="9"/>
      <c r="E87" s="9"/>
      <c r="F87" s="9"/>
      <c r="G87" s="11" t="str">
        <f t="shared" si="2"/>
        <v/>
      </c>
    </row>
    <row r="88" spans="1:7" ht="15" customHeight="1">
      <c r="A88" s="9"/>
      <c r="B88" s="9"/>
      <c r="C88" s="9"/>
      <c r="D88" s="9"/>
      <c r="E88" s="9"/>
      <c r="F88" s="9"/>
      <c r="G88" s="11" t="str">
        <f t="shared" si="2"/>
        <v/>
      </c>
    </row>
    <row r="89" spans="1:7" ht="15" customHeight="1">
      <c r="A89" s="9"/>
      <c r="B89" s="9"/>
      <c r="C89" s="9"/>
      <c r="D89" s="9"/>
      <c r="E89" s="9"/>
      <c r="F89" s="9"/>
      <c r="G89" s="11" t="str">
        <f t="shared" si="2"/>
        <v/>
      </c>
    </row>
    <row r="90" spans="1:7" ht="15" customHeight="1">
      <c r="A90" s="9"/>
      <c r="B90" s="9"/>
      <c r="C90" s="9"/>
      <c r="D90" s="9"/>
      <c r="E90" s="9"/>
      <c r="F90" s="9"/>
      <c r="G90" s="11" t="str">
        <f t="shared" si="2"/>
        <v/>
      </c>
    </row>
    <row r="91" spans="1:7" ht="15" customHeight="1">
      <c r="A91" s="9"/>
      <c r="B91" s="9"/>
      <c r="C91" s="9"/>
      <c r="D91" s="9"/>
      <c r="E91" s="9"/>
      <c r="F91" s="9"/>
      <c r="G91" s="11" t="str">
        <f t="shared" si="2"/>
        <v/>
      </c>
    </row>
    <row r="92" spans="1:7" ht="15" customHeight="1">
      <c r="A92" s="9"/>
      <c r="B92" s="9"/>
      <c r="C92" s="9"/>
      <c r="D92" s="9"/>
      <c r="E92" s="9"/>
      <c r="F92" s="9"/>
      <c r="G92" s="11" t="str">
        <f t="shared" si="2"/>
        <v/>
      </c>
    </row>
    <row r="93" spans="1:7" ht="15" customHeight="1">
      <c r="A93" s="9"/>
      <c r="B93" s="9"/>
      <c r="C93" s="9"/>
      <c r="D93" s="9"/>
      <c r="E93" s="9"/>
      <c r="F93" s="9"/>
      <c r="G93" s="11" t="str">
        <f t="shared" si="2"/>
        <v/>
      </c>
    </row>
    <row r="94" spans="1:7" ht="15" customHeight="1">
      <c r="A94" s="9"/>
      <c r="B94" s="9"/>
      <c r="C94" s="9"/>
      <c r="D94" s="9"/>
      <c r="E94" s="9"/>
      <c r="F94" s="9"/>
      <c r="G94" s="11" t="str">
        <f t="shared" si="2"/>
        <v/>
      </c>
    </row>
    <row r="95" spans="1:7" ht="15" customHeight="1">
      <c r="A95" s="9"/>
      <c r="B95" s="9"/>
      <c r="C95" s="9"/>
      <c r="D95" s="9"/>
      <c r="E95" s="9"/>
      <c r="F95" s="9"/>
      <c r="G95" s="11" t="str">
        <f t="shared" si="2"/>
        <v/>
      </c>
    </row>
    <row r="96" spans="1:7" ht="15" customHeight="1">
      <c r="A96" s="9"/>
      <c r="B96" s="9"/>
      <c r="C96" s="9"/>
      <c r="D96" s="9"/>
      <c r="E96" s="9"/>
      <c r="F96" s="9"/>
      <c r="G96" s="11" t="str">
        <f t="shared" si="2"/>
        <v/>
      </c>
    </row>
    <row r="97" spans="1:7" ht="15" customHeight="1">
      <c r="A97" s="9"/>
      <c r="B97" s="9"/>
      <c r="C97" s="9"/>
      <c r="D97" s="9"/>
      <c r="E97" s="9"/>
      <c r="F97" s="9"/>
      <c r="G97" s="11" t="str">
        <f t="shared" si="2"/>
        <v/>
      </c>
    </row>
    <row r="98" spans="1:7" ht="15" customHeight="1">
      <c r="A98" s="9"/>
      <c r="B98" s="9"/>
      <c r="C98" s="9"/>
      <c r="D98" s="9"/>
      <c r="E98" s="9"/>
      <c r="F98" s="9"/>
      <c r="G98" s="11" t="str">
        <f t="shared" si="2"/>
        <v/>
      </c>
    </row>
    <row r="99" spans="1:7" ht="15" customHeight="1">
      <c r="A99" s="9"/>
      <c r="B99" s="9"/>
      <c r="C99" s="9"/>
      <c r="D99" s="9"/>
      <c r="E99" s="9"/>
      <c r="F99" s="9"/>
      <c r="G99" s="11" t="str">
        <f t="shared" si="2"/>
        <v/>
      </c>
    </row>
    <row r="100" spans="1:7" ht="15" customHeight="1">
      <c r="A100" s="9"/>
      <c r="B100" s="9"/>
      <c r="C100" s="9"/>
      <c r="D100" s="9"/>
      <c r="E100" s="9"/>
      <c r="F100" s="9"/>
      <c r="G100" s="11" t="str">
        <f t="shared" si="2"/>
        <v/>
      </c>
    </row>
    <row r="101" spans="1:7" ht="15" customHeight="1">
      <c r="A101" s="9"/>
      <c r="B101" s="9"/>
      <c r="C101" s="9"/>
      <c r="D101" s="9"/>
      <c r="E101" s="9"/>
      <c r="F101" s="9"/>
      <c r="G101" s="11" t="str">
        <f t="shared" ref="G101:G132" si="3">IF(A101="","",IF(AND(B101="Final",C101="Final",D101="Approved",OR(E101="Not Required",E101="Received"),F101="LEO Passed"),"Ready for Audit","Documents Pending"))</f>
        <v/>
      </c>
    </row>
    <row r="102" spans="1:7" ht="15" customHeight="1">
      <c r="A102" s="9"/>
      <c r="B102" s="9"/>
      <c r="C102" s="9"/>
      <c r="D102" s="9"/>
      <c r="E102" s="9"/>
      <c r="F102" s="9"/>
      <c r="G102" s="11" t="str">
        <f t="shared" si="3"/>
        <v/>
      </c>
    </row>
    <row r="103" spans="1:7" ht="15" customHeight="1">
      <c r="A103" s="9"/>
      <c r="B103" s="9"/>
      <c r="C103" s="9"/>
      <c r="D103" s="9"/>
      <c r="E103" s="9"/>
      <c r="F103" s="9"/>
      <c r="G103" s="11" t="str">
        <f t="shared" si="3"/>
        <v/>
      </c>
    </row>
    <row r="104" spans="1:7" ht="15" customHeight="1">
      <c r="A104" s="9"/>
      <c r="B104" s="9"/>
      <c r="C104" s="9"/>
      <c r="D104" s="9"/>
      <c r="E104" s="9"/>
      <c r="F104" s="9"/>
      <c r="G104" s="11" t="str">
        <f t="shared" si="3"/>
        <v/>
      </c>
    </row>
    <row r="106" spans="1:7" ht="15" customHeight="1">
      <c r="A106" s="3" t="s">
        <v>40</v>
      </c>
      <c r="B106" s="3"/>
      <c r="C106" s="3"/>
      <c r="D106" s="3"/>
      <c r="E106" s="3"/>
      <c r="F106" s="3"/>
      <c r="G106" s="3"/>
    </row>
  </sheetData>
  <mergeCells count="3">
    <mergeCell ref="A1:G1"/>
    <mergeCell ref="A2:G2"/>
    <mergeCell ref="A106:G106"/>
  </mergeCells>
  <conditionalFormatting sqref="G5:G104">
    <cfRule type="expression" dxfId="15" priority="2">
      <formula>G5="Ready for Audit"</formula>
    </cfRule>
    <cfRule type="expression" dxfId="14" priority="3">
      <formula>G5="Documents Pending"</formula>
    </cfRule>
  </conditionalFormatting>
  <dataValidations count="5">
    <dataValidation type="list" allowBlank="1" sqref="B5:B104">
      <formula1>"Missing,Draft,Final"</formula1>
      <formula2>0</formula2>
    </dataValidation>
    <dataValidation type="list" allowBlank="1" sqref="C5:C104">
      <formula1>"Missing,Draft,Final"</formula1>
      <formula2>0</formula2>
    </dataValidation>
    <dataValidation type="list" allowBlank="1" sqref="D5:D104">
      <formula1>"Missing,Draft,Approved"</formula1>
      <formula2>0</formula2>
    </dataValidation>
    <dataValidation type="list" allowBlank="1" sqref="E5:E104">
      <formula1>"Not Required,Pending,Received"</formula1>
      <formula2>0</formula2>
    </dataValidation>
    <dataValidation type="list" allowBlank="1" sqref="F5:F104">
      <formula1>"Pending,Filed,LEO Passed"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&amp;C&amp;8 Samim Craft — Export Shipment Control Workbook (v4) | certcraft25@gmail.com | Free validation build — not for redistribution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6"/>
  <sheetViews>
    <sheetView zoomScaleNormal="100" workbookViewId="0">
      <pane ySplit="4" topLeftCell="A5" activePane="bottomLeft" state="frozen"/>
      <selection pane="bottomLeft" activeCell="G11" sqref="G11"/>
    </sheetView>
  </sheetViews>
  <sheetFormatPr defaultColWidth="8.6328125" defaultRowHeight="14.5"/>
  <cols>
    <col min="1" max="1" width="18" style="7" customWidth="1"/>
    <col min="2" max="2" width="20" style="7" customWidth="1"/>
    <col min="3" max="3" width="18" style="7" customWidth="1"/>
    <col min="4" max="4" width="16" style="7" customWidth="1"/>
    <col min="5" max="5" width="20" style="7" customWidth="1"/>
    <col min="6" max="6" width="18" style="7" customWidth="1"/>
    <col min="7" max="7" width="20" style="7" customWidth="1"/>
    <col min="8" max="8" width="26" style="7" customWidth="1"/>
  </cols>
  <sheetData>
    <row r="1" spans="1:8" ht="17.25" customHeight="1">
      <c r="A1" s="6" t="s">
        <v>54</v>
      </c>
      <c r="B1" s="6"/>
      <c r="C1" s="6"/>
      <c r="D1" s="6"/>
      <c r="E1" s="6"/>
      <c r="F1" s="6"/>
      <c r="G1" s="6"/>
      <c r="H1" s="6"/>
    </row>
    <row r="2" spans="1:8" ht="15" customHeight="1">
      <c r="A2" s="5" t="s">
        <v>1</v>
      </c>
      <c r="B2" s="5"/>
      <c r="C2" s="5"/>
      <c r="D2" s="5"/>
      <c r="E2" s="5"/>
      <c r="F2" s="5"/>
      <c r="G2" s="5"/>
      <c r="H2" s="5"/>
    </row>
    <row r="4" spans="1:8" ht="23.25" customHeight="1">
      <c r="A4" s="8" t="s">
        <v>3</v>
      </c>
      <c r="B4" s="8" t="s">
        <v>55</v>
      </c>
      <c r="C4" s="8" t="s">
        <v>56</v>
      </c>
      <c r="D4" s="8" t="s">
        <v>57</v>
      </c>
      <c r="E4" s="8" t="s">
        <v>58</v>
      </c>
      <c r="F4" s="8" t="s">
        <v>59</v>
      </c>
      <c r="G4" s="8" t="s">
        <v>60</v>
      </c>
      <c r="H4" s="8" t="s">
        <v>61</v>
      </c>
    </row>
    <row r="5" spans="1:8" ht="15" customHeight="1">
      <c r="A5" s="9" t="s">
        <v>13</v>
      </c>
      <c r="B5" s="9" t="s">
        <v>62</v>
      </c>
      <c r="C5" s="9" t="s">
        <v>63</v>
      </c>
      <c r="D5" s="13">
        <v>1000</v>
      </c>
      <c r="E5" s="13">
        <v>8200</v>
      </c>
      <c r="F5" s="13">
        <v>7000</v>
      </c>
      <c r="G5" s="13">
        <v>8200</v>
      </c>
      <c r="H5" s="11" t="str">
        <f t="shared" ref="H5:H36" si="0">IF(A5="","",IF(OR(E5="",F5=""),"⚠️ Incomplete",IF(E5&lt;F5,"🔴 Net &gt; Gross Error",IF(AND(G5&lt;&gt;"",ABS(G5-E5)&gt;10),"🔴 VGM Discrepancy","🟢 Normal"))))</f>
        <v>🟢 Normal</v>
      </c>
    </row>
    <row r="6" spans="1:8" ht="15" customHeight="1">
      <c r="A6" s="9" t="s">
        <v>19</v>
      </c>
      <c r="B6" s="9" t="s">
        <v>64</v>
      </c>
      <c r="C6" s="9" t="s">
        <v>65</v>
      </c>
      <c r="D6" s="13">
        <v>500</v>
      </c>
      <c r="E6" s="13">
        <v>5000</v>
      </c>
      <c r="F6" s="13">
        <v>4200</v>
      </c>
      <c r="G6" s="13">
        <v>5000</v>
      </c>
      <c r="H6" s="11" t="str">
        <f t="shared" si="0"/>
        <v>🟢 Normal</v>
      </c>
    </row>
    <row r="7" spans="1:8" ht="15" customHeight="1">
      <c r="A7" s="9" t="s">
        <v>25</v>
      </c>
      <c r="B7" s="9" t="s">
        <v>66</v>
      </c>
      <c r="C7" s="9" t="s">
        <v>67</v>
      </c>
      <c r="D7" s="13">
        <v>700</v>
      </c>
      <c r="E7" s="13">
        <v>7000</v>
      </c>
      <c r="F7" s="13">
        <v>7500</v>
      </c>
      <c r="G7" s="13">
        <v>7000</v>
      </c>
      <c r="H7" s="11" t="str">
        <f t="shared" si="0"/>
        <v>🔴 Net &gt; Gross Error</v>
      </c>
    </row>
    <row r="8" spans="1:8" ht="15" customHeight="1">
      <c r="A8" s="9" t="s">
        <v>31</v>
      </c>
      <c r="B8" s="9" t="s">
        <v>68</v>
      </c>
      <c r="C8" s="9" t="s">
        <v>69</v>
      </c>
      <c r="D8" s="13">
        <v>500</v>
      </c>
      <c r="E8" s="13">
        <v>12500</v>
      </c>
      <c r="F8" s="13">
        <v>10000</v>
      </c>
      <c r="G8" s="13">
        <v>12505</v>
      </c>
      <c r="H8" s="11" t="str">
        <f t="shared" si="0"/>
        <v>🟢 Normal</v>
      </c>
    </row>
    <row r="9" spans="1:8" ht="15" customHeight="1">
      <c r="A9" s="14" t="s">
        <v>36</v>
      </c>
      <c r="B9" s="7" t="s">
        <v>70</v>
      </c>
      <c r="C9" s="9" t="s">
        <v>71</v>
      </c>
      <c r="D9" s="13">
        <v>600</v>
      </c>
      <c r="E9" s="13">
        <v>15000</v>
      </c>
      <c r="F9" s="13">
        <v>12000</v>
      </c>
      <c r="G9" s="13">
        <v>15004</v>
      </c>
      <c r="H9" s="11" t="str">
        <f t="shared" si="0"/>
        <v>🟢 Normal</v>
      </c>
    </row>
    <row r="10" spans="1:8" ht="15" customHeight="1">
      <c r="A10" t="s">
        <v>126</v>
      </c>
      <c r="B10" t="s">
        <v>133</v>
      </c>
      <c r="C10" t="s">
        <v>134</v>
      </c>
      <c r="D10">
        <v>220</v>
      </c>
      <c r="E10" s="21">
        <v>6000</v>
      </c>
      <c r="F10" s="21">
        <v>5400</v>
      </c>
      <c r="G10" s="21">
        <v>6003</v>
      </c>
      <c r="H10" s="11" t="str">
        <f t="shared" si="0"/>
        <v>🟢 Normal</v>
      </c>
    </row>
    <row r="11" spans="1:8" ht="15" customHeight="1">
      <c r="A11" s="9"/>
      <c r="B11" s="9"/>
      <c r="C11" s="9"/>
      <c r="D11" s="13"/>
      <c r="E11" s="13"/>
      <c r="F11" s="13"/>
      <c r="G11" s="13"/>
      <c r="H11" s="11" t="str">
        <f t="shared" si="0"/>
        <v/>
      </c>
    </row>
    <row r="12" spans="1:8" ht="15" customHeight="1">
      <c r="A12" s="9"/>
      <c r="B12" s="9"/>
      <c r="C12" s="9"/>
      <c r="D12" s="13"/>
      <c r="E12" s="13"/>
      <c r="F12" s="13"/>
      <c r="G12" s="13"/>
      <c r="H12" s="11" t="str">
        <f t="shared" si="0"/>
        <v/>
      </c>
    </row>
    <row r="13" spans="1:8" ht="15" customHeight="1">
      <c r="A13" s="9"/>
      <c r="B13" s="9"/>
      <c r="C13" s="9"/>
      <c r="D13" s="13"/>
      <c r="E13" s="13"/>
      <c r="F13" s="13"/>
      <c r="G13" s="13"/>
      <c r="H13" s="11" t="str">
        <f t="shared" si="0"/>
        <v/>
      </c>
    </row>
    <row r="14" spans="1:8" ht="15" customHeight="1">
      <c r="A14" s="9"/>
      <c r="B14" s="9"/>
      <c r="C14" s="9"/>
      <c r="D14" s="13"/>
      <c r="E14" s="13"/>
      <c r="F14" s="13"/>
      <c r="G14" s="13"/>
      <c r="H14" s="11" t="str">
        <f t="shared" si="0"/>
        <v/>
      </c>
    </row>
    <row r="15" spans="1:8" ht="15" customHeight="1">
      <c r="A15" s="9"/>
      <c r="B15" s="9"/>
      <c r="C15" s="9"/>
      <c r="D15" s="13"/>
      <c r="E15" s="13"/>
      <c r="F15" s="13"/>
      <c r="G15" s="13"/>
      <c r="H15" s="11" t="str">
        <f t="shared" si="0"/>
        <v/>
      </c>
    </row>
    <row r="16" spans="1:8" ht="15" customHeight="1">
      <c r="A16" s="9"/>
      <c r="B16" s="9"/>
      <c r="C16" s="9"/>
      <c r="D16" s="13"/>
      <c r="E16" s="13"/>
      <c r="F16" s="13"/>
      <c r="G16" s="13"/>
      <c r="H16" s="11" t="str">
        <f t="shared" si="0"/>
        <v/>
      </c>
    </row>
    <row r="17" spans="1:8" ht="15" customHeight="1">
      <c r="A17" s="9"/>
      <c r="B17" s="9"/>
      <c r="C17" s="9"/>
      <c r="D17" s="13"/>
      <c r="E17" s="13"/>
      <c r="F17" s="13"/>
      <c r="G17" s="13"/>
      <c r="H17" s="11" t="str">
        <f t="shared" si="0"/>
        <v/>
      </c>
    </row>
    <row r="18" spans="1:8" ht="15" customHeight="1">
      <c r="A18" s="9"/>
      <c r="B18" s="9"/>
      <c r="C18" s="9"/>
      <c r="D18" s="13"/>
      <c r="E18" s="13"/>
      <c r="F18" s="13"/>
      <c r="G18" s="13"/>
      <c r="H18" s="11" t="str">
        <f t="shared" si="0"/>
        <v/>
      </c>
    </row>
    <row r="19" spans="1:8" ht="15" customHeight="1">
      <c r="A19" s="9"/>
      <c r="B19" s="9"/>
      <c r="C19" s="9"/>
      <c r="D19" s="13"/>
      <c r="E19" s="13"/>
      <c r="F19" s="13"/>
      <c r="G19" s="13"/>
      <c r="H19" s="11" t="str">
        <f t="shared" si="0"/>
        <v/>
      </c>
    </row>
    <row r="20" spans="1:8" ht="15" customHeight="1">
      <c r="A20" s="9"/>
      <c r="B20" s="9"/>
      <c r="C20" s="9"/>
      <c r="D20" s="13"/>
      <c r="E20" s="13"/>
      <c r="F20" s="13"/>
      <c r="G20" s="13"/>
      <c r="H20" s="11" t="str">
        <f t="shared" si="0"/>
        <v/>
      </c>
    </row>
    <row r="21" spans="1:8" ht="15" customHeight="1">
      <c r="A21" s="9"/>
      <c r="B21" s="9"/>
      <c r="C21" s="9"/>
      <c r="D21" s="13"/>
      <c r="E21" s="13"/>
      <c r="F21" s="13"/>
      <c r="G21" s="13"/>
      <c r="H21" s="11" t="str">
        <f t="shared" si="0"/>
        <v/>
      </c>
    </row>
    <row r="22" spans="1:8" ht="15" customHeight="1">
      <c r="A22" s="9"/>
      <c r="B22" s="9"/>
      <c r="C22" s="9"/>
      <c r="D22" s="13"/>
      <c r="E22" s="13"/>
      <c r="F22" s="13"/>
      <c r="G22" s="13"/>
      <c r="H22" s="11" t="str">
        <f t="shared" si="0"/>
        <v/>
      </c>
    </row>
    <row r="23" spans="1:8" ht="15" customHeight="1">
      <c r="A23" s="9"/>
      <c r="B23" s="9"/>
      <c r="C23" s="9"/>
      <c r="D23" s="13"/>
      <c r="E23" s="13"/>
      <c r="F23" s="13"/>
      <c r="G23" s="13"/>
      <c r="H23" s="11" t="str">
        <f t="shared" si="0"/>
        <v/>
      </c>
    </row>
    <row r="24" spans="1:8" ht="15" customHeight="1">
      <c r="A24" s="9"/>
      <c r="B24" s="9"/>
      <c r="C24" s="9"/>
      <c r="D24" s="13"/>
      <c r="E24" s="13"/>
      <c r="F24" s="13"/>
      <c r="G24" s="13"/>
      <c r="H24" s="11" t="str">
        <f t="shared" si="0"/>
        <v/>
      </c>
    </row>
    <row r="25" spans="1:8" ht="15" customHeight="1">
      <c r="A25" s="9"/>
      <c r="B25" s="9"/>
      <c r="C25" s="9"/>
      <c r="D25" s="13"/>
      <c r="E25" s="13"/>
      <c r="F25" s="13"/>
      <c r="G25" s="13"/>
      <c r="H25" s="11" t="str">
        <f t="shared" si="0"/>
        <v/>
      </c>
    </row>
    <row r="26" spans="1:8" ht="15" customHeight="1">
      <c r="A26" s="9"/>
      <c r="B26" s="9"/>
      <c r="C26" s="9"/>
      <c r="D26" s="13"/>
      <c r="E26" s="13"/>
      <c r="F26" s="13"/>
      <c r="G26" s="13"/>
      <c r="H26" s="11" t="str">
        <f t="shared" si="0"/>
        <v/>
      </c>
    </row>
    <row r="27" spans="1:8" ht="15" customHeight="1">
      <c r="A27" s="9"/>
      <c r="B27" s="9"/>
      <c r="C27" s="9"/>
      <c r="D27" s="13"/>
      <c r="E27" s="13"/>
      <c r="F27" s="13"/>
      <c r="G27" s="13"/>
      <c r="H27" s="11" t="str">
        <f t="shared" si="0"/>
        <v/>
      </c>
    </row>
    <row r="28" spans="1:8" ht="15" customHeight="1">
      <c r="A28" s="9"/>
      <c r="B28" s="9"/>
      <c r="C28" s="9"/>
      <c r="D28" s="13"/>
      <c r="E28" s="13"/>
      <c r="F28" s="13"/>
      <c r="G28" s="13"/>
      <c r="H28" s="11" t="str">
        <f t="shared" si="0"/>
        <v/>
      </c>
    </row>
    <row r="29" spans="1:8" ht="15" customHeight="1">
      <c r="A29" s="9"/>
      <c r="B29" s="9"/>
      <c r="C29" s="9"/>
      <c r="D29" s="13"/>
      <c r="E29" s="13"/>
      <c r="F29" s="13"/>
      <c r="G29" s="13"/>
      <c r="H29" s="11" t="str">
        <f t="shared" si="0"/>
        <v/>
      </c>
    </row>
    <row r="30" spans="1:8" ht="15" customHeight="1">
      <c r="A30" s="9"/>
      <c r="B30" s="9"/>
      <c r="C30" s="9"/>
      <c r="D30" s="13"/>
      <c r="E30" s="13"/>
      <c r="F30" s="13"/>
      <c r="G30" s="13"/>
      <c r="H30" s="11" t="str">
        <f t="shared" si="0"/>
        <v/>
      </c>
    </row>
    <row r="31" spans="1:8" ht="15" customHeight="1">
      <c r="A31" s="9"/>
      <c r="B31" s="9"/>
      <c r="C31" s="9"/>
      <c r="D31" s="13"/>
      <c r="E31" s="13"/>
      <c r="F31" s="13"/>
      <c r="G31" s="13"/>
      <c r="H31" s="11" t="str">
        <f t="shared" si="0"/>
        <v/>
      </c>
    </row>
    <row r="32" spans="1:8" ht="15" customHeight="1">
      <c r="A32" s="9"/>
      <c r="B32" s="9"/>
      <c r="C32" s="9"/>
      <c r="D32" s="13"/>
      <c r="E32" s="13"/>
      <c r="F32" s="13"/>
      <c r="G32" s="13"/>
      <c r="H32" s="11" t="str">
        <f t="shared" si="0"/>
        <v/>
      </c>
    </row>
    <row r="33" spans="1:8" ht="15" customHeight="1">
      <c r="A33" s="9"/>
      <c r="B33" s="9"/>
      <c r="C33" s="9"/>
      <c r="D33" s="13"/>
      <c r="E33" s="13"/>
      <c r="F33" s="13"/>
      <c r="G33" s="13"/>
      <c r="H33" s="11" t="str">
        <f t="shared" si="0"/>
        <v/>
      </c>
    </row>
    <row r="34" spans="1:8" ht="15" customHeight="1">
      <c r="A34" s="9"/>
      <c r="B34" s="9"/>
      <c r="C34" s="9"/>
      <c r="D34" s="13"/>
      <c r="E34" s="13"/>
      <c r="F34" s="13"/>
      <c r="G34" s="13"/>
      <c r="H34" s="11" t="str">
        <f t="shared" si="0"/>
        <v/>
      </c>
    </row>
    <row r="35" spans="1:8" ht="15" customHeight="1">
      <c r="A35" s="9"/>
      <c r="B35" s="9"/>
      <c r="C35" s="9"/>
      <c r="D35" s="13"/>
      <c r="E35" s="13"/>
      <c r="F35" s="13"/>
      <c r="G35" s="13"/>
      <c r="H35" s="11" t="str">
        <f t="shared" si="0"/>
        <v/>
      </c>
    </row>
    <row r="36" spans="1:8" ht="15" customHeight="1">
      <c r="A36" s="9"/>
      <c r="B36" s="9"/>
      <c r="C36" s="9"/>
      <c r="D36" s="13"/>
      <c r="E36" s="13"/>
      <c r="F36" s="13"/>
      <c r="G36" s="13"/>
      <c r="H36" s="11" t="str">
        <f t="shared" si="0"/>
        <v/>
      </c>
    </row>
    <row r="37" spans="1:8" ht="15" customHeight="1">
      <c r="A37" s="9"/>
      <c r="B37" s="9"/>
      <c r="C37" s="9"/>
      <c r="D37" s="13"/>
      <c r="E37" s="13"/>
      <c r="F37" s="13"/>
      <c r="G37" s="13"/>
      <c r="H37" s="11" t="str">
        <f t="shared" ref="H37:H68" si="1">IF(A37="","",IF(OR(E37="",F37=""),"⚠️ Incomplete",IF(E37&lt;F37,"🔴 Net &gt; Gross Error",IF(AND(G37&lt;&gt;"",ABS(G37-E37)&gt;10),"🔴 VGM Discrepancy","🟢 Normal"))))</f>
        <v/>
      </c>
    </row>
    <row r="38" spans="1:8" ht="15" customHeight="1">
      <c r="A38" s="9"/>
      <c r="B38" s="9"/>
      <c r="C38" s="9"/>
      <c r="D38" s="13"/>
      <c r="E38" s="13"/>
      <c r="F38" s="13"/>
      <c r="G38" s="13"/>
      <c r="H38" s="11" t="str">
        <f t="shared" si="1"/>
        <v/>
      </c>
    </row>
    <row r="39" spans="1:8" ht="15" customHeight="1">
      <c r="A39" s="9"/>
      <c r="B39" s="9"/>
      <c r="C39" s="9"/>
      <c r="D39" s="13"/>
      <c r="E39" s="13"/>
      <c r="F39" s="13"/>
      <c r="G39" s="13"/>
      <c r="H39" s="11" t="str">
        <f t="shared" si="1"/>
        <v/>
      </c>
    </row>
    <row r="40" spans="1:8" ht="15" customHeight="1">
      <c r="A40" s="9"/>
      <c r="B40" s="9"/>
      <c r="C40" s="9"/>
      <c r="D40" s="13"/>
      <c r="E40" s="13"/>
      <c r="F40" s="13"/>
      <c r="G40" s="13"/>
      <c r="H40" s="11" t="str">
        <f t="shared" si="1"/>
        <v/>
      </c>
    </row>
    <row r="41" spans="1:8" ht="15" customHeight="1">
      <c r="A41" s="9"/>
      <c r="B41" s="9"/>
      <c r="C41" s="9"/>
      <c r="D41" s="13"/>
      <c r="E41" s="13"/>
      <c r="F41" s="13"/>
      <c r="G41" s="13"/>
      <c r="H41" s="11" t="str">
        <f t="shared" si="1"/>
        <v/>
      </c>
    </row>
    <row r="42" spans="1:8" ht="15" customHeight="1">
      <c r="A42" s="9"/>
      <c r="B42" s="9"/>
      <c r="C42" s="9"/>
      <c r="D42" s="13"/>
      <c r="E42" s="13"/>
      <c r="F42" s="13"/>
      <c r="G42" s="13"/>
      <c r="H42" s="11" t="str">
        <f t="shared" si="1"/>
        <v/>
      </c>
    </row>
    <row r="43" spans="1:8" ht="15" customHeight="1">
      <c r="A43" s="9"/>
      <c r="B43" s="9"/>
      <c r="C43" s="9"/>
      <c r="D43" s="13"/>
      <c r="E43" s="13"/>
      <c r="F43" s="13"/>
      <c r="G43" s="13"/>
      <c r="H43" s="11" t="str">
        <f t="shared" si="1"/>
        <v/>
      </c>
    </row>
    <row r="44" spans="1:8" ht="15" customHeight="1">
      <c r="A44" s="9"/>
      <c r="B44" s="9"/>
      <c r="C44" s="9"/>
      <c r="D44" s="13"/>
      <c r="E44" s="13"/>
      <c r="F44" s="13"/>
      <c r="G44" s="13"/>
      <c r="H44" s="11" t="str">
        <f t="shared" si="1"/>
        <v/>
      </c>
    </row>
    <row r="45" spans="1:8" ht="15" customHeight="1">
      <c r="A45" s="9"/>
      <c r="B45" s="9"/>
      <c r="C45" s="9"/>
      <c r="D45" s="13"/>
      <c r="E45" s="13"/>
      <c r="F45" s="13"/>
      <c r="G45" s="13"/>
      <c r="H45" s="11" t="str">
        <f t="shared" si="1"/>
        <v/>
      </c>
    </row>
    <row r="46" spans="1:8" ht="15" customHeight="1">
      <c r="A46" s="9"/>
      <c r="B46" s="9"/>
      <c r="C46" s="9"/>
      <c r="D46" s="13"/>
      <c r="E46" s="13"/>
      <c r="F46" s="13"/>
      <c r="G46" s="13"/>
      <c r="H46" s="11" t="str">
        <f t="shared" si="1"/>
        <v/>
      </c>
    </row>
    <row r="47" spans="1:8" ht="15" customHeight="1">
      <c r="A47" s="9"/>
      <c r="B47" s="9"/>
      <c r="C47" s="9"/>
      <c r="D47" s="13"/>
      <c r="E47" s="13"/>
      <c r="F47" s="13"/>
      <c r="G47" s="13"/>
      <c r="H47" s="11" t="str">
        <f t="shared" si="1"/>
        <v/>
      </c>
    </row>
    <row r="48" spans="1:8" ht="15" customHeight="1">
      <c r="A48" s="9"/>
      <c r="B48" s="9"/>
      <c r="C48" s="9"/>
      <c r="D48" s="13"/>
      <c r="E48" s="13"/>
      <c r="F48" s="13"/>
      <c r="G48" s="13"/>
      <c r="H48" s="11" t="str">
        <f t="shared" si="1"/>
        <v/>
      </c>
    </row>
    <row r="49" spans="1:8" ht="15" customHeight="1">
      <c r="A49" s="9"/>
      <c r="B49" s="9"/>
      <c r="C49" s="9"/>
      <c r="D49" s="13"/>
      <c r="E49" s="13"/>
      <c r="F49" s="13"/>
      <c r="G49" s="13"/>
      <c r="H49" s="11" t="str">
        <f t="shared" si="1"/>
        <v/>
      </c>
    </row>
    <row r="50" spans="1:8" ht="15" customHeight="1">
      <c r="A50" s="9"/>
      <c r="B50" s="9"/>
      <c r="C50" s="9"/>
      <c r="D50" s="13"/>
      <c r="E50" s="13"/>
      <c r="F50" s="13"/>
      <c r="G50" s="13"/>
      <c r="H50" s="11" t="str">
        <f t="shared" si="1"/>
        <v/>
      </c>
    </row>
    <row r="51" spans="1:8" ht="15" customHeight="1">
      <c r="A51" s="9"/>
      <c r="B51" s="9"/>
      <c r="C51" s="9"/>
      <c r="D51" s="13"/>
      <c r="E51" s="13"/>
      <c r="F51" s="13"/>
      <c r="G51" s="13"/>
      <c r="H51" s="11" t="str">
        <f t="shared" si="1"/>
        <v/>
      </c>
    </row>
    <row r="52" spans="1:8" ht="15" customHeight="1">
      <c r="A52" s="9"/>
      <c r="B52" s="9"/>
      <c r="C52" s="9"/>
      <c r="D52" s="13"/>
      <c r="E52" s="13"/>
      <c r="F52" s="13"/>
      <c r="G52" s="13"/>
      <c r="H52" s="11" t="str">
        <f t="shared" si="1"/>
        <v/>
      </c>
    </row>
    <row r="53" spans="1:8" ht="15" customHeight="1">
      <c r="A53" s="9"/>
      <c r="B53" s="9"/>
      <c r="C53" s="9"/>
      <c r="D53" s="13"/>
      <c r="E53" s="13"/>
      <c r="F53" s="13"/>
      <c r="G53" s="13"/>
      <c r="H53" s="11" t="str">
        <f t="shared" si="1"/>
        <v/>
      </c>
    </row>
    <row r="54" spans="1:8" ht="15" customHeight="1">
      <c r="A54" s="9"/>
      <c r="B54" s="9"/>
      <c r="C54" s="9"/>
      <c r="D54" s="13"/>
      <c r="E54" s="13"/>
      <c r="F54" s="13"/>
      <c r="G54" s="13"/>
      <c r="H54" s="11" t="str">
        <f t="shared" si="1"/>
        <v/>
      </c>
    </row>
    <row r="55" spans="1:8" ht="15" customHeight="1">
      <c r="A55" s="9"/>
      <c r="B55" s="9"/>
      <c r="C55" s="9"/>
      <c r="D55" s="13"/>
      <c r="E55" s="13"/>
      <c r="F55" s="13"/>
      <c r="G55" s="13"/>
      <c r="H55" s="11" t="str">
        <f t="shared" si="1"/>
        <v/>
      </c>
    </row>
    <row r="56" spans="1:8" ht="15" customHeight="1">
      <c r="A56" s="9"/>
      <c r="B56" s="9"/>
      <c r="C56" s="9"/>
      <c r="D56" s="13"/>
      <c r="E56" s="13"/>
      <c r="F56" s="13"/>
      <c r="G56" s="13"/>
      <c r="H56" s="11" t="str">
        <f t="shared" si="1"/>
        <v/>
      </c>
    </row>
    <row r="57" spans="1:8" ht="15" customHeight="1">
      <c r="A57" s="9"/>
      <c r="B57" s="9"/>
      <c r="C57" s="9"/>
      <c r="D57" s="13"/>
      <c r="E57" s="13"/>
      <c r="F57" s="13"/>
      <c r="G57" s="13"/>
      <c r="H57" s="11" t="str">
        <f t="shared" si="1"/>
        <v/>
      </c>
    </row>
    <row r="58" spans="1:8" ht="15" customHeight="1">
      <c r="A58" s="9"/>
      <c r="B58" s="9"/>
      <c r="C58" s="9"/>
      <c r="D58" s="13"/>
      <c r="E58" s="13"/>
      <c r="F58" s="13"/>
      <c r="G58" s="13"/>
      <c r="H58" s="11" t="str">
        <f t="shared" si="1"/>
        <v/>
      </c>
    </row>
    <row r="59" spans="1:8" ht="15" customHeight="1">
      <c r="A59" s="9"/>
      <c r="B59" s="9"/>
      <c r="C59" s="9"/>
      <c r="D59" s="13"/>
      <c r="E59" s="13"/>
      <c r="F59" s="13"/>
      <c r="G59" s="13"/>
      <c r="H59" s="11" t="str">
        <f t="shared" si="1"/>
        <v/>
      </c>
    </row>
    <row r="60" spans="1:8" ht="15" customHeight="1">
      <c r="A60" s="9"/>
      <c r="B60" s="9"/>
      <c r="C60" s="9"/>
      <c r="D60" s="13"/>
      <c r="E60" s="13"/>
      <c r="F60" s="13"/>
      <c r="G60" s="13"/>
      <c r="H60" s="11" t="str">
        <f t="shared" si="1"/>
        <v/>
      </c>
    </row>
    <row r="61" spans="1:8" ht="15" customHeight="1">
      <c r="A61" s="9"/>
      <c r="B61" s="9"/>
      <c r="C61" s="9"/>
      <c r="D61" s="13"/>
      <c r="E61" s="13"/>
      <c r="F61" s="13"/>
      <c r="G61" s="13"/>
      <c r="H61" s="11" t="str">
        <f t="shared" si="1"/>
        <v/>
      </c>
    </row>
    <row r="62" spans="1:8" ht="15" customHeight="1">
      <c r="A62" s="9"/>
      <c r="B62" s="9"/>
      <c r="C62" s="9"/>
      <c r="D62" s="13"/>
      <c r="E62" s="13"/>
      <c r="F62" s="13"/>
      <c r="G62" s="13"/>
      <c r="H62" s="11" t="str">
        <f t="shared" si="1"/>
        <v/>
      </c>
    </row>
    <row r="63" spans="1:8" ht="15" customHeight="1">
      <c r="A63" s="9"/>
      <c r="B63" s="9"/>
      <c r="C63" s="9"/>
      <c r="D63" s="13"/>
      <c r="E63" s="13"/>
      <c r="F63" s="13"/>
      <c r="G63" s="13"/>
      <c r="H63" s="11" t="str">
        <f t="shared" si="1"/>
        <v/>
      </c>
    </row>
    <row r="64" spans="1:8" ht="15" customHeight="1">
      <c r="A64" s="9"/>
      <c r="B64" s="9"/>
      <c r="C64" s="9"/>
      <c r="D64" s="13"/>
      <c r="E64" s="13"/>
      <c r="F64" s="13"/>
      <c r="G64" s="13"/>
      <c r="H64" s="11" t="str">
        <f t="shared" si="1"/>
        <v/>
      </c>
    </row>
    <row r="65" spans="1:8" ht="15" customHeight="1">
      <c r="A65" s="9"/>
      <c r="B65" s="9"/>
      <c r="C65" s="9"/>
      <c r="D65" s="13"/>
      <c r="E65" s="13"/>
      <c r="F65" s="13"/>
      <c r="G65" s="13"/>
      <c r="H65" s="11" t="str">
        <f t="shared" si="1"/>
        <v/>
      </c>
    </row>
    <row r="66" spans="1:8" ht="15" customHeight="1">
      <c r="A66" s="9"/>
      <c r="B66" s="9"/>
      <c r="C66" s="9"/>
      <c r="D66" s="13"/>
      <c r="E66" s="13"/>
      <c r="F66" s="13"/>
      <c r="G66" s="13"/>
      <c r="H66" s="11" t="str">
        <f t="shared" si="1"/>
        <v/>
      </c>
    </row>
    <row r="67" spans="1:8" ht="15" customHeight="1">
      <c r="A67" s="9"/>
      <c r="B67" s="9"/>
      <c r="C67" s="9"/>
      <c r="D67" s="13"/>
      <c r="E67" s="13"/>
      <c r="F67" s="13"/>
      <c r="G67" s="13"/>
      <c r="H67" s="11" t="str">
        <f t="shared" si="1"/>
        <v/>
      </c>
    </row>
    <row r="68" spans="1:8" ht="15" customHeight="1">
      <c r="A68" s="9"/>
      <c r="B68" s="9"/>
      <c r="C68" s="9"/>
      <c r="D68" s="13"/>
      <c r="E68" s="13"/>
      <c r="F68" s="13"/>
      <c r="G68" s="13"/>
      <c r="H68" s="11" t="str">
        <f t="shared" si="1"/>
        <v/>
      </c>
    </row>
    <row r="69" spans="1:8" ht="15" customHeight="1">
      <c r="A69" s="9"/>
      <c r="B69" s="9"/>
      <c r="C69" s="9"/>
      <c r="D69" s="13"/>
      <c r="E69" s="13"/>
      <c r="F69" s="13"/>
      <c r="G69" s="13"/>
      <c r="H69" s="11" t="str">
        <f t="shared" ref="H69:H100" si="2">IF(A69="","",IF(OR(E69="",F69=""),"⚠️ Incomplete",IF(E69&lt;F69,"🔴 Net &gt; Gross Error",IF(AND(G69&lt;&gt;"",ABS(G69-E69)&gt;10),"🔴 VGM Discrepancy","🟢 Normal"))))</f>
        <v/>
      </c>
    </row>
    <row r="70" spans="1:8" ht="15" customHeight="1">
      <c r="A70" s="9"/>
      <c r="B70" s="9"/>
      <c r="C70" s="9"/>
      <c r="D70" s="13"/>
      <c r="E70" s="13"/>
      <c r="F70" s="13"/>
      <c r="G70" s="13"/>
      <c r="H70" s="11" t="str">
        <f t="shared" si="2"/>
        <v/>
      </c>
    </row>
    <row r="71" spans="1:8" ht="15" customHeight="1">
      <c r="A71" s="9"/>
      <c r="B71" s="9"/>
      <c r="C71" s="9"/>
      <c r="D71" s="13"/>
      <c r="E71" s="13"/>
      <c r="F71" s="13"/>
      <c r="G71" s="13"/>
      <c r="H71" s="11" t="str">
        <f t="shared" si="2"/>
        <v/>
      </c>
    </row>
    <row r="72" spans="1:8" ht="15" customHeight="1">
      <c r="A72" s="9"/>
      <c r="B72" s="9"/>
      <c r="C72" s="9"/>
      <c r="D72" s="13"/>
      <c r="E72" s="13"/>
      <c r="F72" s="13"/>
      <c r="G72" s="13"/>
      <c r="H72" s="11" t="str">
        <f t="shared" si="2"/>
        <v/>
      </c>
    </row>
    <row r="73" spans="1:8" ht="15" customHeight="1">
      <c r="A73" s="9"/>
      <c r="B73" s="9"/>
      <c r="C73" s="9"/>
      <c r="D73" s="13"/>
      <c r="E73" s="13"/>
      <c r="F73" s="13"/>
      <c r="G73" s="13"/>
      <c r="H73" s="11" t="str">
        <f t="shared" si="2"/>
        <v/>
      </c>
    </row>
    <row r="74" spans="1:8" ht="15" customHeight="1">
      <c r="A74" s="9"/>
      <c r="B74" s="9"/>
      <c r="C74" s="9"/>
      <c r="D74" s="13"/>
      <c r="E74" s="13"/>
      <c r="F74" s="13"/>
      <c r="G74" s="13"/>
      <c r="H74" s="11" t="str">
        <f t="shared" si="2"/>
        <v/>
      </c>
    </row>
    <row r="75" spans="1:8" ht="15" customHeight="1">
      <c r="A75" s="9"/>
      <c r="B75" s="9"/>
      <c r="C75" s="9"/>
      <c r="D75" s="13"/>
      <c r="E75" s="13"/>
      <c r="F75" s="13"/>
      <c r="G75" s="13"/>
      <c r="H75" s="11" t="str">
        <f t="shared" si="2"/>
        <v/>
      </c>
    </row>
    <row r="76" spans="1:8" ht="15" customHeight="1">
      <c r="A76" s="9"/>
      <c r="B76" s="9"/>
      <c r="C76" s="9"/>
      <c r="D76" s="13"/>
      <c r="E76" s="13"/>
      <c r="F76" s="13"/>
      <c r="G76" s="13"/>
      <c r="H76" s="11" t="str">
        <f t="shared" si="2"/>
        <v/>
      </c>
    </row>
    <row r="77" spans="1:8" ht="15" customHeight="1">
      <c r="A77" s="9"/>
      <c r="B77" s="9"/>
      <c r="C77" s="9"/>
      <c r="D77" s="13"/>
      <c r="E77" s="13"/>
      <c r="F77" s="13"/>
      <c r="G77" s="13"/>
      <c r="H77" s="11" t="str">
        <f t="shared" si="2"/>
        <v/>
      </c>
    </row>
    <row r="78" spans="1:8" ht="15" customHeight="1">
      <c r="A78" s="9"/>
      <c r="B78" s="9"/>
      <c r="C78" s="9"/>
      <c r="D78" s="13"/>
      <c r="E78" s="13"/>
      <c r="F78" s="13"/>
      <c r="G78" s="13"/>
      <c r="H78" s="11" t="str">
        <f t="shared" si="2"/>
        <v/>
      </c>
    </row>
    <row r="79" spans="1:8" ht="15" customHeight="1">
      <c r="A79" s="9"/>
      <c r="B79" s="9"/>
      <c r="C79" s="9"/>
      <c r="D79" s="13"/>
      <c r="E79" s="13"/>
      <c r="F79" s="13"/>
      <c r="G79" s="13"/>
      <c r="H79" s="11" t="str">
        <f t="shared" si="2"/>
        <v/>
      </c>
    </row>
    <row r="80" spans="1:8" ht="15" customHeight="1">
      <c r="A80" s="9"/>
      <c r="B80" s="9"/>
      <c r="C80" s="9"/>
      <c r="D80" s="13"/>
      <c r="E80" s="13"/>
      <c r="F80" s="13"/>
      <c r="G80" s="13"/>
      <c r="H80" s="11" t="str">
        <f t="shared" si="2"/>
        <v/>
      </c>
    </row>
    <row r="81" spans="1:8" ht="15" customHeight="1">
      <c r="A81" s="9"/>
      <c r="B81" s="9"/>
      <c r="C81" s="9"/>
      <c r="D81" s="13"/>
      <c r="E81" s="13"/>
      <c r="F81" s="13"/>
      <c r="G81" s="13"/>
      <c r="H81" s="11" t="str">
        <f t="shared" si="2"/>
        <v/>
      </c>
    </row>
    <row r="82" spans="1:8" ht="15" customHeight="1">
      <c r="A82" s="9"/>
      <c r="B82" s="9"/>
      <c r="C82" s="9"/>
      <c r="D82" s="13"/>
      <c r="E82" s="13"/>
      <c r="F82" s="13"/>
      <c r="G82" s="13"/>
      <c r="H82" s="11" t="str">
        <f t="shared" si="2"/>
        <v/>
      </c>
    </row>
    <row r="83" spans="1:8" ht="15" customHeight="1">
      <c r="A83" s="9"/>
      <c r="B83" s="9"/>
      <c r="C83" s="9"/>
      <c r="D83" s="13"/>
      <c r="E83" s="13"/>
      <c r="F83" s="13"/>
      <c r="G83" s="13"/>
      <c r="H83" s="11" t="str">
        <f t="shared" si="2"/>
        <v/>
      </c>
    </row>
    <row r="84" spans="1:8" ht="15" customHeight="1">
      <c r="A84" s="9"/>
      <c r="B84" s="9"/>
      <c r="C84" s="9"/>
      <c r="D84" s="13"/>
      <c r="E84" s="13"/>
      <c r="F84" s="13"/>
      <c r="G84" s="13"/>
      <c r="H84" s="11" t="str">
        <f t="shared" si="2"/>
        <v/>
      </c>
    </row>
    <row r="85" spans="1:8" ht="15" customHeight="1">
      <c r="A85" s="9"/>
      <c r="B85" s="9"/>
      <c r="C85" s="9"/>
      <c r="D85" s="13"/>
      <c r="E85" s="13"/>
      <c r="F85" s="13"/>
      <c r="G85" s="13"/>
      <c r="H85" s="11" t="str">
        <f t="shared" si="2"/>
        <v/>
      </c>
    </row>
    <row r="86" spans="1:8" ht="15" customHeight="1">
      <c r="A86" s="9"/>
      <c r="B86" s="9"/>
      <c r="C86" s="9"/>
      <c r="D86" s="13"/>
      <c r="E86" s="13"/>
      <c r="F86" s="13"/>
      <c r="G86" s="13"/>
      <c r="H86" s="11" t="str">
        <f t="shared" si="2"/>
        <v/>
      </c>
    </row>
    <row r="87" spans="1:8" ht="15" customHeight="1">
      <c r="A87" s="9"/>
      <c r="B87" s="9"/>
      <c r="C87" s="9"/>
      <c r="D87" s="13"/>
      <c r="E87" s="13"/>
      <c r="F87" s="13"/>
      <c r="G87" s="13"/>
      <c r="H87" s="11" t="str">
        <f t="shared" si="2"/>
        <v/>
      </c>
    </row>
    <row r="88" spans="1:8" ht="15" customHeight="1">
      <c r="A88" s="9"/>
      <c r="B88" s="9"/>
      <c r="C88" s="9"/>
      <c r="D88" s="13"/>
      <c r="E88" s="13"/>
      <c r="F88" s="13"/>
      <c r="G88" s="13"/>
      <c r="H88" s="11" t="str">
        <f t="shared" si="2"/>
        <v/>
      </c>
    </row>
    <row r="89" spans="1:8" ht="15" customHeight="1">
      <c r="A89" s="9"/>
      <c r="B89" s="9"/>
      <c r="C89" s="9"/>
      <c r="D89" s="13"/>
      <c r="E89" s="13"/>
      <c r="F89" s="13"/>
      <c r="G89" s="13"/>
      <c r="H89" s="11" t="str">
        <f t="shared" si="2"/>
        <v/>
      </c>
    </row>
    <row r="90" spans="1:8" ht="15" customHeight="1">
      <c r="A90" s="9"/>
      <c r="B90" s="9"/>
      <c r="C90" s="9"/>
      <c r="D90" s="13"/>
      <c r="E90" s="13"/>
      <c r="F90" s="13"/>
      <c r="G90" s="13"/>
      <c r="H90" s="11" t="str">
        <f t="shared" si="2"/>
        <v/>
      </c>
    </row>
    <row r="91" spans="1:8" ht="15" customHeight="1">
      <c r="A91" s="9"/>
      <c r="B91" s="9"/>
      <c r="C91" s="9"/>
      <c r="D91" s="13"/>
      <c r="E91" s="13"/>
      <c r="F91" s="13"/>
      <c r="G91" s="13"/>
      <c r="H91" s="11" t="str">
        <f t="shared" si="2"/>
        <v/>
      </c>
    </row>
    <row r="92" spans="1:8" ht="15" customHeight="1">
      <c r="A92" s="9"/>
      <c r="B92" s="9"/>
      <c r="C92" s="9"/>
      <c r="D92" s="13"/>
      <c r="E92" s="13"/>
      <c r="F92" s="13"/>
      <c r="G92" s="13"/>
      <c r="H92" s="11" t="str">
        <f t="shared" si="2"/>
        <v/>
      </c>
    </row>
    <row r="93" spans="1:8" ht="15" customHeight="1">
      <c r="A93" s="9"/>
      <c r="B93" s="9"/>
      <c r="C93" s="9"/>
      <c r="D93" s="13"/>
      <c r="E93" s="13"/>
      <c r="F93" s="13"/>
      <c r="G93" s="13"/>
      <c r="H93" s="11" t="str">
        <f t="shared" si="2"/>
        <v/>
      </c>
    </row>
    <row r="94" spans="1:8" ht="15" customHeight="1">
      <c r="A94" s="9"/>
      <c r="B94" s="9"/>
      <c r="C94" s="9"/>
      <c r="D94" s="13"/>
      <c r="E94" s="13"/>
      <c r="F94" s="13"/>
      <c r="G94" s="13"/>
      <c r="H94" s="11" t="str">
        <f t="shared" si="2"/>
        <v/>
      </c>
    </row>
    <row r="95" spans="1:8" ht="15" customHeight="1">
      <c r="A95" s="9"/>
      <c r="B95" s="9"/>
      <c r="C95" s="9"/>
      <c r="D95" s="13"/>
      <c r="E95" s="13"/>
      <c r="F95" s="13"/>
      <c r="G95" s="13"/>
      <c r="H95" s="11" t="str">
        <f t="shared" si="2"/>
        <v/>
      </c>
    </row>
    <row r="96" spans="1:8" ht="15" customHeight="1">
      <c r="A96" s="9"/>
      <c r="B96" s="9"/>
      <c r="C96" s="9"/>
      <c r="D96" s="13"/>
      <c r="E96" s="13"/>
      <c r="F96" s="13"/>
      <c r="G96" s="13"/>
      <c r="H96" s="11" t="str">
        <f t="shared" si="2"/>
        <v/>
      </c>
    </row>
    <row r="97" spans="1:8" ht="15" customHeight="1">
      <c r="A97" s="9"/>
      <c r="B97" s="9"/>
      <c r="C97" s="9"/>
      <c r="D97" s="13"/>
      <c r="E97" s="13"/>
      <c r="F97" s="13"/>
      <c r="G97" s="13"/>
      <c r="H97" s="11" t="str">
        <f t="shared" si="2"/>
        <v/>
      </c>
    </row>
    <row r="98" spans="1:8" ht="15" customHeight="1">
      <c r="A98" s="9"/>
      <c r="B98" s="9"/>
      <c r="C98" s="9"/>
      <c r="D98" s="13"/>
      <c r="E98" s="13"/>
      <c r="F98" s="13"/>
      <c r="G98" s="13"/>
      <c r="H98" s="11" t="str">
        <f t="shared" si="2"/>
        <v/>
      </c>
    </row>
    <row r="99" spans="1:8" ht="15" customHeight="1">
      <c r="A99" s="9"/>
      <c r="B99" s="9"/>
      <c r="C99" s="9"/>
      <c r="D99" s="13"/>
      <c r="E99" s="13"/>
      <c r="F99" s="13"/>
      <c r="G99" s="13"/>
      <c r="H99" s="11" t="str">
        <f t="shared" si="2"/>
        <v/>
      </c>
    </row>
    <row r="100" spans="1:8" ht="15" customHeight="1">
      <c r="A100" s="9"/>
      <c r="B100" s="9"/>
      <c r="C100" s="9"/>
      <c r="D100" s="13"/>
      <c r="E100" s="13"/>
      <c r="F100" s="13"/>
      <c r="G100" s="13"/>
      <c r="H100" s="11" t="str">
        <f t="shared" si="2"/>
        <v/>
      </c>
    </row>
    <row r="101" spans="1:8" ht="15" customHeight="1">
      <c r="A101" s="9"/>
      <c r="B101" s="9"/>
      <c r="C101" s="9"/>
      <c r="D101" s="13"/>
      <c r="E101" s="13"/>
      <c r="F101" s="13"/>
      <c r="G101" s="13"/>
      <c r="H101" s="11" t="str">
        <f t="shared" ref="H101:H132" si="3">IF(A101="","",IF(OR(E101="",F101=""),"⚠️ Incomplete",IF(E101&lt;F101,"🔴 Net &gt; Gross Error",IF(AND(G101&lt;&gt;"",ABS(G101-E101)&gt;10),"🔴 VGM Discrepancy","🟢 Normal"))))</f>
        <v/>
      </c>
    </row>
    <row r="102" spans="1:8" ht="15" customHeight="1">
      <c r="A102" s="9"/>
      <c r="B102" s="9"/>
      <c r="C102" s="9"/>
      <c r="D102" s="13"/>
      <c r="E102" s="13"/>
      <c r="F102" s="13"/>
      <c r="G102" s="13"/>
      <c r="H102" s="11" t="str">
        <f t="shared" si="3"/>
        <v/>
      </c>
    </row>
    <row r="103" spans="1:8" ht="15" customHeight="1">
      <c r="A103" s="9"/>
      <c r="B103" s="9"/>
      <c r="C103" s="9"/>
      <c r="D103" s="13"/>
      <c r="E103" s="13"/>
      <c r="F103" s="13"/>
      <c r="G103" s="13"/>
      <c r="H103" s="11" t="str">
        <f t="shared" si="3"/>
        <v/>
      </c>
    </row>
    <row r="104" spans="1:8" ht="15" customHeight="1">
      <c r="A104" s="9"/>
      <c r="B104" s="9"/>
      <c r="C104" s="9"/>
      <c r="D104" s="13"/>
      <c r="E104" s="13"/>
      <c r="F104" s="13"/>
      <c r="G104" s="13"/>
      <c r="H104" s="11" t="str">
        <f t="shared" si="3"/>
        <v/>
      </c>
    </row>
    <row r="106" spans="1:8" ht="15" customHeight="1">
      <c r="A106" s="3" t="s">
        <v>40</v>
      </c>
      <c r="B106" s="3"/>
      <c r="C106" s="3"/>
      <c r="D106" s="3"/>
      <c r="E106" s="3"/>
      <c r="F106" s="3"/>
      <c r="G106" s="3"/>
      <c r="H106" s="3"/>
    </row>
  </sheetData>
  <mergeCells count="3">
    <mergeCell ref="A1:H1"/>
    <mergeCell ref="A2:H2"/>
    <mergeCell ref="A106:H106"/>
  </mergeCells>
  <conditionalFormatting sqref="H5:H104">
    <cfRule type="expression" dxfId="13" priority="2">
      <formula>LEFT(H5,1)="🔴"</formula>
    </cfRule>
    <cfRule type="expression" dxfId="12" priority="3">
      <formula>LEFT(H5,1)="🟢"</formula>
    </cfRule>
  </conditionalFormatting>
  <pageMargins left="0.75" right="0.75" top="1" bottom="1" header="0.511811023622047" footer="0.51180555555555596"/>
  <pageSetup paperSize="9" orientation="portrait" horizontalDpi="300" verticalDpi="300"/>
  <headerFooter>
    <oddFooter>&amp;C&amp;8 Samim Craft — Export Shipment Control Workbook (v4) | certcraft25@gmail.com | Free validation build — not for redistribution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tabSelected="1" zoomScaleNormal="100" workbookViewId="0">
      <pane ySplit="4" topLeftCell="A17" activePane="bottomLeft" state="frozen"/>
      <selection pane="bottomLeft" activeCell="A22" sqref="A22:F22"/>
    </sheetView>
  </sheetViews>
  <sheetFormatPr defaultColWidth="8.6328125" defaultRowHeight="14.5"/>
  <cols>
    <col min="1" max="1" width="24" style="7" customWidth="1"/>
    <col min="2" max="6" width="22" style="7" customWidth="1"/>
    <col min="7" max="7" width="18" style="7" customWidth="1"/>
    <col min="8" max="8" width="26" style="7" customWidth="1"/>
    <col min="9" max="9" width="30" style="7" customWidth="1"/>
    <col min="10" max="10" width="86.7265625" style="7" customWidth="1"/>
    <col min="11" max="11" width="24" style="7" customWidth="1"/>
  </cols>
  <sheetData>
    <row r="1" spans="1:11" ht="17.25" customHeight="1">
      <c r="A1" s="6" t="s">
        <v>72</v>
      </c>
      <c r="B1" s="6"/>
      <c r="C1" s="6"/>
      <c r="D1" s="6"/>
      <c r="E1" s="6"/>
      <c r="F1" s="6"/>
    </row>
    <row r="2" spans="1:11" ht="15" customHeight="1">
      <c r="A2" s="5" t="s">
        <v>1</v>
      </c>
      <c r="B2" s="5"/>
      <c r="C2" s="5"/>
      <c r="D2" s="5"/>
      <c r="E2" s="5"/>
      <c r="F2" s="5"/>
    </row>
    <row r="3" spans="1:11" ht="15" customHeight="1">
      <c r="A3" s="2" t="s">
        <v>73</v>
      </c>
      <c r="B3" s="2"/>
      <c r="C3" s="2"/>
      <c r="D3" s="2"/>
      <c r="E3" s="2"/>
      <c r="F3" s="2"/>
    </row>
    <row r="4" spans="1:11" ht="15" customHeight="1">
      <c r="A4" s="8" t="s">
        <v>74</v>
      </c>
      <c r="B4" s="8" t="s">
        <v>42</v>
      </c>
      <c r="C4" s="8" t="s">
        <v>43</v>
      </c>
      <c r="D4" s="8" t="s">
        <v>44</v>
      </c>
      <c r="E4" s="8" t="s">
        <v>75</v>
      </c>
      <c r="F4" s="8" t="s">
        <v>76</v>
      </c>
      <c r="G4" s="15" t="s">
        <v>3</v>
      </c>
      <c r="H4" s="15" t="s">
        <v>77</v>
      </c>
      <c r="I4" s="15" t="s">
        <v>78</v>
      </c>
      <c r="J4" s="15" t="s">
        <v>79</v>
      </c>
      <c r="K4" s="15" t="s">
        <v>80</v>
      </c>
    </row>
    <row r="5" spans="1:11" ht="15" customHeight="1">
      <c r="A5" s="9" t="s">
        <v>81</v>
      </c>
      <c r="B5" s="9" t="s">
        <v>14</v>
      </c>
      <c r="C5" s="9" t="s">
        <v>14</v>
      </c>
      <c r="D5" s="9" t="s">
        <v>82</v>
      </c>
      <c r="E5" s="11" t="str">
        <f t="shared" ref="E5:E15" si="0">IF(OR(B5="",C5="",D5=""),"",IF(AND(B5=C5,C5=D5),"🟢 Match",IF(OR(F5="Critical",F5="High"),"🔴 Mismatch","🟡 Review")))</f>
        <v>🔴 Mismatch</v>
      </c>
      <c r="F5" s="9" t="s">
        <v>83</v>
      </c>
      <c r="G5" s="7" t="s">
        <v>13</v>
      </c>
      <c r="H5" s="7" t="str">
        <f t="shared" ref="H5:H15" si="1">IF(E5="🔴 Mismatch","⚠️ Log in Exception_Log","")</f>
        <v>⚠️ Log in Exception_Log</v>
      </c>
      <c r="I5" s="7" t="str">
        <f t="shared" ref="I5:I37" si="2">IF(OR(B5="",C5="",D5=""),"",IF(AND(B5=C5,C5=D5),"",IF(AND(B5=C5,C5&lt;&gt;D5),"Packing List vs Draft B/L",IF(AND(C5=D5,B5&lt;&gt;C5),"Commercial Invoice vs Packing List",IF(AND(B5=D5,B5&lt;&gt;C5),"Commercial Invoice vs Draft B/L","Commercial Invoice vs Packing List vs Draft B/L (all differ)")))))</f>
        <v>Packing List vs Draft B/L</v>
      </c>
      <c r="J5" s="7" t="str">
        <f t="shared" ref="J5:J37" si="3">IF(I5="","","Commercial Invoice: "&amp;B5&amp;"; Packing List: "&amp;C5&amp;"; Draft B/L: "&amp;D5)</f>
        <v>Commercial Invoice: ABC Trading Co.; Packing List: ABC Trading Co.; Draft B/L: ABC Trading Ltd.</v>
      </c>
      <c r="K5" s="7" t="str">
        <f t="shared" ref="K5:K37" si="4">IF(I5="","",IF(OR(F5="Critical",F5="High"),"🔴 Critical - Review Required","🟡 Warning - Review"))</f>
        <v>🔴 Critical - Review Required</v>
      </c>
    </row>
    <row r="6" spans="1:11" ht="15" customHeight="1">
      <c r="A6" s="9" t="s">
        <v>84</v>
      </c>
      <c r="B6" s="13">
        <v>1000</v>
      </c>
      <c r="C6" s="13">
        <v>1000</v>
      </c>
      <c r="D6" s="13">
        <v>950</v>
      </c>
      <c r="E6" s="11" t="str">
        <f t="shared" si="0"/>
        <v>🔴 Mismatch</v>
      </c>
      <c r="F6" s="9" t="s">
        <v>85</v>
      </c>
      <c r="G6" s="7" t="s">
        <v>13</v>
      </c>
      <c r="H6" s="7" t="str">
        <f t="shared" si="1"/>
        <v>⚠️ Log in Exception_Log</v>
      </c>
      <c r="I6" s="7" t="str">
        <f t="shared" si="2"/>
        <v>Packing List vs Draft B/L</v>
      </c>
      <c r="J6" s="7" t="str">
        <f t="shared" si="3"/>
        <v>Commercial Invoice: 1000; Packing List: 1000; Draft B/L: 950</v>
      </c>
      <c r="K6" s="7" t="str">
        <f t="shared" si="4"/>
        <v>🔴 Critical - Review Required</v>
      </c>
    </row>
    <row r="7" spans="1:11" ht="15" customHeight="1">
      <c r="A7" s="9" t="s">
        <v>58</v>
      </c>
      <c r="B7" s="13">
        <v>8200</v>
      </c>
      <c r="C7" s="13">
        <v>8200</v>
      </c>
      <c r="D7" s="13">
        <v>8200</v>
      </c>
      <c r="E7" s="11" t="str">
        <f t="shared" si="0"/>
        <v>🟢 Match</v>
      </c>
      <c r="F7" s="9" t="s">
        <v>83</v>
      </c>
      <c r="G7" s="7" t="s">
        <v>13</v>
      </c>
      <c r="H7" s="7" t="str">
        <f t="shared" si="1"/>
        <v/>
      </c>
      <c r="I7" s="7" t="str">
        <f t="shared" si="2"/>
        <v/>
      </c>
      <c r="J7" s="7" t="str">
        <f t="shared" si="3"/>
        <v/>
      </c>
      <c r="K7" s="7" t="str">
        <f t="shared" si="4"/>
        <v/>
      </c>
    </row>
    <row r="8" spans="1:11" ht="15" customHeight="1">
      <c r="A8" s="9" t="s">
        <v>55</v>
      </c>
      <c r="B8" s="9" t="s">
        <v>62</v>
      </c>
      <c r="C8" s="9" t="s">
        <v>62</v>
      </c>
      <c r="D8" s="9" t="s">
        <v>62</v>
      </c>
      <c r="E8" s="11" t="str">
        <f t="shared" si="0"/>
        <v>🟢 Match</v>
      </c>
      <c r="F8" s="9" t="s">
        <v>83</v>
      </c>
      <c r="G8" s="7" t="s">
        <v>13</v>
      </c>
      <c r="H8" s="7" t="str">
        <f t="shared" si="1"/>
        <v/>
      </c>
      <c r="I8" s="7" t="str">
        <f t="shared" si="2"/>
        <v/>
      </c>
      <c r="J8" s="7" t="str">
        <f t="shared" si="3"/>
        <v/>
      </c>
      <c r="K8" s="7" t="str">
        <f t="shared" si="4"/>
        <v/>
      </c>
    </row>
    <row r="9" spans="1:11" ht="15" customHeight="1">
      <c r="A9" s="9" t="s">
        <v>86</v>
      </c>
      <c r="B9" s="9" t="s">
        <v>87</v>
      </c>
      <c r="C9" s="9" t="s">
        <v>87</v>
      </c>
      <c r="D9" s="9" t="s">
        <v>88</v>
      </c>
      <c r="E9" s="11" t="str">
        <f t="shared" si="0"/>
        <v>🟡 Review</v>
      </c>
      <c r="F9" s="9" t="s">
        <v>89</v>
      </c>
      <c r="G9" s="7" t="s">
        <v>13</v>
      </c>
      <c r="H9" s="7" t="str">
        <f t="shared" si="1"/>
        <v/>
      </c>
      <c r="I9" s="7" t="str">
        <f t="shared" si="2"/>
        <v>Packing List vs Draft B/L</v>
      </c>
      <c r="J9" s="7" t="str">
        <f t="shared" si="3"/>
        <v>Commercial Invoice: 6109.10.00; Packing List: 6109.10.00; Draft B/L: 6109.10</v>
      </c>
      <c r="K9" s="7" t="str">
        <f t="shared" si="4"/>
        <v>🟡 Warning - Review</v>
      </c>
    </row>
    <row r="10" spans="1:11" ht="15" customHeight="1">
      <c r="A10" s="9" t="s">
        <v>81</v>
      </c>
      <c r="B10" s="9" t="s">
        <v>37</v>
      </c>
      <c r="C10" s="9" t="s">
        <v>37</v>
      </c>
      <c r="D10" s="7" t="s">
        <v>90</v>
      </c>
      <c r="E10" s="11" t="str">
        <f t="shared" si="0"/>
        <v>🟡 Review</v>
      </c>
      <c r="F10" s="9"/>
      <c r="G10" s="7" t="s">
        <v>36</v>
      </c>
      <c r="H10" s="7" t="str">
        <f t="shared" si="1"/>
        <v/>
      </c>
      <c r="I10" s="7" t="str">
        <f t="shared" si="2"/>
        <v>Packing List vs Draft B/L</v>
      </c>
      <c r="J10" s="7" t="str">
        <f t="shared" si="3"/>
        <v>Commercial Invoice: Global Textiles Ltd.; Packing List: Global Textiles Ltd.; Draft B/L: Global Textile Ltd.</v>
      </c>
      <c r="K10" s="7" t="str">
        <f t="shared" si="4"/>
        <v>🟡 Warning - Review</v>
      </c>
    </row>
    <row r="11" spans="1:11" ht="15" customHeight="1">
      <c r="A11" s="9" t="s">
        <v>84</v>
      </c>
      <c r="B11" s="9">
        <v>600</v>
      </c>
      <c r="C11" s="9">
        <v>600</v>
      </c>
      <c r="D11" s="9">
        <v>550</v>
      </c>
      <c r="E11" s="11" t="str">
        <f t="shared" si="0"/>
        <v>🔴 Mismatch</v>
      </c>
      <c r="F11" s="9" t="s">
        <v>85</v>
      </c>
      <c r="G11" s="7" t="s">
        <v>36</v>
      </c>
      <c r="H11" s="7" t="str">
        <f t="shared" si="1"/>
        <v>⚠️ Log in Exception_Log</v>
      </c>
      <c r="I11" s="7" t="str">
        <f t="shared" si="2"/>
        <v>Packing List vs Draft B/L</v>
      </c>
      <c r="J11" s="7" t="str">
        <f t="shared" si="3"/>
        <v>Commercial Invoice: 600; Packing List: 600; Draft B/L: 550</v>
      </c>
      <c r="K11" s="7" t="str">
        <f t="shared" si="4"/>
        <v>🔴 Critical - Review Required</v>
      </c>
    </row>
    <row r="12" spans="1:11" ht="15" customHeight="1">
      <c r="A12" s="16" t="s">
        <v>58</v>
      </c>
      <c r="B12" s="17">
        <v>15000</v>
      </c>
      <c r="C12" s="17">
        <v>15000</v>
      </c>
      <c r="D12" s="17">
        <v>14500</v>
      </c>
      <c r="E12" s="7" t="str">
        <f t="shared" si="0"/>
        <v>🟡 Review</v>
      </c>
      <c r="F12" s="17"/>
      <c r="G12" s="7" t="s">
        <v>36</v>
      </c>
      <c r="H12" s="7" t="str">
        <f t="shared" si="1"/>
        <v/>
      </c>
      <c r="I12" s="7" t="str">
        <f t="shared" si="2"/>
        <v>Packing List vs Draft B/L</v>
      </c>
      <c r="J12" s="7" t="str">
        <f t="shared" si="3"/>
        <v>Commercial Invoice: 15000; Packing List: 15000; Draft B/L: 14500</v>
      </c>
      <c r="K12" s="7" t="str">
        <f t="shared" si="4"/>
        <v>🟡 Warning - Review</v>
      </c>
    </row>
    <row r="13" spans="1:11" ht="15" customHeight="1">
      <c r="A13" s="18" t="s">
        <v>55</v>
      </c>
      <c r="B13" s="17" t="s">
        <v>70</v>
      </c>
      <c r="C13" s="17" t="s">
        <v>70</v>
      </c>
      <c r="D13" s="17" t="s">
        <v>70</v>
      </c>
      <c r="E13" s="7" t="str">
        <f t="shared" si="0"/>
        <v>🟢 Match</v>
      </c>
      <c r="F13" s="17"/>
      <c r="G13" s="7" t="s">
        <v>36</v>
      </c>
      <c r="H13" s="7" t="str">
        <f t="shared" si="1"/>
        <v/>
      </c>
      <c r="I13" s="7" t="str">
        <f t="shared" si="2"/>
        <v/>
      </c>
      <c r="J13" s="7" t="str">
        <f t="shared" si="3"/>
        <v/>
      </c>
      <c r="K13" s="7" t="str">
        <f t="shared" si="4"/>
        <v/>
      </c>
    </row>
    <row r="14" spans="1:11" ht="15" customHeight="1">
      <c r="A14" s="9" t="s">
        <v>86</v>
      </c>
      <c r="B14" s="9">
        <v>630260</v>
      </c>
      <c r="C14" s="9">
        <v>630260</v>
      </c>
      <c r="D14" s="9">
        <v>630260</v>
      </c>
      <c r="E14" s="11" t="str">
        <f t="shared" si="0"/>
        <v>🟢 Match</v>
      </c>
      <c r="F14" s="9"/>
      <c r="G14" s="17" t="s">
        <v>31</v>
      </c>
      <c r="H14" s="7" t="str">
        <f t="shared" si="1"/>
        <v/>
      </c>
      <c r="I14" s="7" t="str">
        <f t="shared" si="2"/>
        <v/>
      </c>
      <c r="J14" s="7" t="str">
        <f t="shared" si="3"/>
        <v/>
      </c>
      <c r="K14" s="7" t="str">
        <f t="shared" si="4"/>
        <v/>
      </c>
    </row>
    <row r="15" spans="1:11" ht="14.25" customHeight="1">
      <c r="A15" s="19" t="s">
        <v>91</v>
      </c>
      <c r="B15" s="17" t="s">
        <v>34</v>
      </c>
      <c r="C15" s="17" t="s">
        <v>34</v>
      </c>
      <c r="D15" s="17" t="s">
        <v>92</v>
      </c>
      <c r="E15" s="7" t="str">
        <f t="shared" si="0"/>
        <v>🟡 Review</v>
      </c>
      <c r="F15" s="17"/>
      <c r="G15" s="17" t="s">
        <v>31</v>
      </c>
      <c r="H15" s="7" t="str">
        <f t="shared" si="1"/>
        <v/>
      </c>
      <c r="I15" s="7" t="str">
        <f t="shared" si="2"/>
        <v>Packing List vs Draft B/L</v>
      </c>
      <c r="J15" s="7" t="str">
        <f t="shared" si="3"/>
        <v>Commercial Invoice: Port Klang; Packing List: Port Klang; Draft B/L: Port Kelang</v>
      </c>
      <c r="K15" s="7" t="str">
        <f t="shared" si="4"/>
        <v>🟡 Warning - Review</v>
      </c>
    </row>
    <row r="16" spans="1:11" ht="62.5">
      <c r="A16" s="9" t="s">
        <v>93</v>
      </c>
      <c r="I16" s="7" t="str">
        <f t="shared" si="2"/>
        <v/>
      </c>
      <c r="J16" s="7" t="str">
        <f t="shared" si="3"/>
        <v/>
      </c>
      <c r="K16" s="7" t="str">
        <f t="shared" si="4"/>
        <v/>
      </c>
    </row>
    <row r="17" spans="1:11" ht="22" customHeight="1">
      <c r="A17" s="9"/>
    </row>
    <row r="18" spans="1:11" ht="15" customHeight="1">
      <c r="A18" s="9"/>
      <c r="B18" s="9"/>
      <c r="C18" s="9"/>
      <c r="D18" s="9"/>
      <c r="E18" s="11"/>
      <c r="F18" s="9"/>
      <c r="I18" s="7" t="str">
        <f t="shared" si="2"/>
        <v/>
      </c>
      <c r="J18" s="7" t="str">
        <f t="shared" si="3"/>
        <v/>
      </c>
      <c r="K18" s="7" t="str">
        <f t="shared" si="4"/>
        <v/>
      </c>
    </row>
    <row r="19" spans="1:11" ht="14.25" customHeight="1">
      <c r="A19" s="1" t="s">
        <v>94</v>
      </c>
      <c r="B19" s="1"/>
      <c r="C19" s="1"/>
      <c r="D19" s="1"/>
      <c r="E19" s="1"/>
      <c r="F19" s="1"/>
      <c r="I19" s="7" t="str">
        <f t="shared" si="2"/>
        <v/>
      </c>
      <c r="J19" s="7" t="str">
        <f t="shared" si="3"/>
        <v/>
      </c>
      <c r="K19" s="7" t="str">
        <f t="shared" si="4"/>
        <v/>
      </c>
    </row>
    <row r="20" spans="1:11" ht="34.5" customHeight="1">
      <c r="A20" s="1" t="s">
        <v>95</v>
      </c>
      <c r="B20" s="1"/>
      <c r="C20" s="1"/>
      <c r="D20" s="1"/>
      <c r="E20" s="1"/>
      <c r="F20" s="1"/>
      <c r="I20" s="7" t="str">
        <f t="shared" si="2"/>
        <v/>
      </c>
      <c r="J20" s="7" t="str">
        <f t="shared" si="3"/>
        <v/>
      </c>
      <c r="K20" s="7" t="str">
        <f t="shared" si="4"/>
        <v/>
      </c>
    </row>
    <row r="21" spans="1:11" ht="14.25" customHeight="1">
      <c r="A21" s="9"/>
      <c r="B21" s="9"/>
      <c r="C21" s="9"/>
      <c r="D21" s="9"/>
      <c r="E21" s="11"/>
      <c r="F21" s="9"/>
      <c r="I21" s="7" t="str">
        <f t="shared" si="2"/>
        <v/>
      </c>
      <c r="J21" s="7" t="str">
        <f t="shared" si="3"/>
        <v/>
      </c>
      <c r="K21" s="7" t="str">
        <f t="shared" si="4"/>
        <v/>
      </c>
    </row>
    <row r="22" spans="1:11" ht="15" customHeight="1">
      <c r="A22" s="1" t="s">
        <v>96</v>
      </c>
      <c r="B22" s="1"/>
      <c r="C22" s="1"/>
      <c r="D22" s="1"/>
      <c r="E22" s="1"/>
      <c r="F22" s="1"/>
      <c r="I22" s="7" t="str">
        <f t="shared" si="2"/>
        <v/>
      </c>
      <c r="J22" s="7" t="str">
        <f t="shared" si="3"/>
        <v/>
      </c>
      <c r="K22" s="7" t="str">
        <f t="shared" si="4"/>
        <v/>
      </c>
    </row>
    <row r="23" spans="1:11" ht="14.25" customHeight="1">
      <c r="A23" s="1" t="s">
        <v>93</v>
      </c>
      <c r="B23" s="1"/>
      <c r="C23" s="1"/>
      <c r="D23" s="1"/>
      <c r="E23" s="1"/>
      <c r="F23" s="1"/>
      <c r="I23" s="7" t="str">
        <f t="shared" si="2"/>
        <v/>
      </c>
      <c r="J23" s="7" t="str">
        <f t="shared" si="3"/>
        <v/>
      </c>
      <c r="K23" s="7" t="str">
        <f t="shared" si="4"/>
        <v/>
      </c>
    </row>
    <row r="24" spans="1:11" ht="15" customHeight="1">
      <c r="A24" s="9"/>
      <c r="B24" s="9"/>
      <c r="C24" s="9"/>
      <c r="D24" s="9"/>
      <c r="E24" s="11"/>
      <c r="F24" s="9"/>
      <c r="I24" s="7" t="str">
        <f t="shared" si="2"/>
        <v/>
      </c>
      <c r="J24" s="7" t="str">
        <f t="shared" si="3"/>
        <v/>
      </c>
      <c r="K24" s="7" t="str">
        <f t="shared" si="4"/>
        <v/>
      </c>
    </row>
    <row r="25" spans="1:11" ht="15" customHeight="1">
      <c r="A25" s="9"/>
      <c r="B25" t="s">
        <v>127</v>
      </c>
      <c r="C25" t="s">
        <v>127</v>
      </c>
      <c r="D25" t="s">
        <v>127</v>
      </c>
      <c r="E25" s="7" t="str">
        <f t="shared" ref="E25:E27" si="5">IF(OR(B25="",C25="",D25=""),"",IF(AND(B25=C25,C25=D25),"🟢 Match",IF(OR(F25="Critical",F25="High"),"🔴 Mismatch","🟡 Review")))</f>
        <v>🟢 Match</v>
      </c>
      <c r="F25" s="9"/>
      <c r="G25" t="s">
        <v>126</v>
      </c>
      <c r="I25" s="7" t="str">
        <f t="shared" si="2"/>
        <v/>
      </c>
      <c r="J25" s="7" t="str">
        <f t="shared" si="3"/>
        <v/>
      </c>
      <c r="K25" s="7" t="str">
        <f t="shared" si="4"/>
        <v/>
      </c>
    </row>
    <row r="26" spans="1:11" ht="15" customHeight="1">
      <c r="A26" s="9"/>
      <c r="B26">
        <v>220</v>
      </c>
      <c r="C26">
        <v>220</v>
      </c>
      <c r="D26">
        <v>320</v>
      </c>
      <c r="E26" s="7" t="str">
        <f t="shared" si="5"/>
        <v>🟡 Review</v>
      </c>
      <c r="F26" s="9"/>
      <c r="G26" t="s">
        <v>126</v>
      </c>
      <c r="I26" s="7" t="str">
        <f t="shared" si="2"/>
        <v>Packing List vs Draft B/L</v>
      </c>
      <c r="J26" s="7" t="str">
        <f t="shared" si="3"/>
        <v>Commercial Invoice: 220; Packing List: 220; Draft B/L: 320</v>
      </c>
      <c r="K26" s="7" t="str">
        <f t="shared" si="4"/>
        <v>🟡 Warning - Review</v>
      </c>
    </row>
    <row r="27" spans="1:11" ht="15" customHeight="1">
      <c r="A27" s="9"/>
      <c r="B27" t="s">
        <v>133</v>
      </c>
      <c r="C27" t="s">
        <v>133</v>
      </c>
      <c r="D27" t="s">
        <v>133</v>
      </c>
      <c r="E27" s="7" t="str">
        <f t="shared" si="5"/>
        <v>🟢 Match</v>
      </c>
      <c r="F27" s="9"/>
      <c r="G27" t="s">
        <v>126</v>
      </c>
      <c r="I27" s="7" t="str">
        <f t="shared" si="2"/>
        <v/>
      </c>
      <c r="J27" s="7" t="str">
        <f t="shared" si="3"/>
        <v/>
      </c>
      <c r="K27" s="7" t="str">
        <f t="shared" si="4"/>
        <v/>
      </c>
    </row>
    <row r="28" spans="1:11" ht="15" customHeight="1">
      <c r="A28" s="9"/>
      <c r="B28" s="9"/>
      <c r="C28" s="9"/>
      <c r="D28" s="9"/>
      <c r="E28" s="11"/>
      <c r="F28" s="9"/>
      <c r="I28" s="7" t="str">
        <f t="shared" si="2"/>
        <v/>
      </c>
      <c r="J28" s="7" t="str">
        <f t="shared" si="3"/>
        <v/>
      </c>
      <c r="K28" s="7" t="str">
        <f t="shared" si="4"/>
        <v/>
      </c>
    </row>
    <row r="29" spans="1:11" ht="15" customHeight="1">
      <c r="A29" s="9"/>
      <c r="B29" s="9"/>
      <c r="C29" s="9"/>
      <c r="D29" s="9"/>
      <c r="E29" s="11"/>
      <c r="F29" s="9"/>
      <c r="I29" s="7" t="str">
        <f t="shared" si="2"/>
        <v/>
      </c>
      <c r="J29" s="7" t="str">
        <f t="shared" si="3"/>
        <v/>
      </c>
      <c r="K29" s="7" t="str">
        <f t="shared" si="4"/>
        <v/>
      </c>
    </row>
    <row r="30" spans="1:11" ht="15" customHeight="1">
      <c r="A30" s="9"/>
      <c r="B30" s="9"/>
      <c r="C30" s="9"/>
      <c r="D30" s="9"/>
      <c r="E30" s="11"/>
      <c r="F30" s="9"/>
      <c r="I30" s="7" t="str">
        <f t="shared" si="2"/>
        <v/>
      </c>
      <c r="J30" s="7" t="str">
        <f t="shared" si="3"/>
        <v/>
      </c>
      <c r="K30" s="7" t="str">
        <f t="shared" si="4"/>
        <v/>
      </c>
    </row>
    <row r="31" spans="1:11" ht="15" customHeight="1">
      <c r="A31" s="9"/>
      <c r="B31" s="9"/>
      <c r="C31" s="9"/>
      <c r="D31" s="9"/>
      <c r="E31" s="11"/>
      <c r="F31" s="9"/>
      <c r="I31" s="7" t="str">
        <f t="shared" si="2"/>
        <v/>
      </c>
      <c r="J31" s="7" t="str">
        <f t="shared" si="3"/>
        <v/>
      </c>
      <c r="K31" s="7" t="str">
        <f t="shared" si="4"/>
        <v/>
      </c>
    </row>
    <row r="32" spans="1:11" ht="15" customHeight="1">
      <c r="A32" s="9"/>
      <c r="B32" s="9"/>
      <c r="C32" s="9"/>
      <c r="D32" s="9"/>
      <c r="E32" s="11"/>
      <c r="F32" s="9"/>
      <c r="I32" s="7" t="str">
        <f t="shared" si="2"/>
        <v/>
      </c>
      <c r="J32" s="7" t="str">
        <f t="shared" si="3"/>
        <v/>
      </c>
      <c r="K32" s="7" t="str">
        <f t="shared" si="4"/>
        <v/>
      </c>
    </row>
    <row r="33" spans="1:11" ht="15" customHeight="1">
      <c r="A33" s="9"/>
      <c r="B33" s="9"/>
      <c r="C33" s="9"/>
      <c r="D33" s="9"/>
      <c r="E33" s="11"/>
      <c r="F33" s="9"/>
      <c r="I33" s="7" t="str">
        <f t="shared" si="2"/>
        <v/>
      </c>
      <c r="J33" s="7" t="str">
        <f t="shared" si="3"/>
        <v/>
      </c>
      <c r="K33" s="7" t="str">
        <f t="shared" si="4"/>
        <v/>
      </c>
    </row>
    <row r="34" spans="1:11" ht="15" customHeight="1">
      <c r="A34" s="9"/>
      <c r="B34" s="9"/>
      <c r="C34" s="9"/>
      <c r="D34" s="9"/>
      <c r="E34" s="11"/>
      <c r="F34" s="9"/>
      <c r="I34" s="7" t="str">
        <f t="shared" si="2"/>
        <v/>
      </c>
      <c r="J34" s="7" t="str">
        <f t="shared" si="3"/>
        <v/>
      </c>
      <c r="K34" s="7" t="str">
        <f t="shared" si="4"/>
        <v/>
      </c>
    </row>
    <row r="35" spans="1:11" ht="15" customHeight="1">
      <c r="A35" s="9"/>
      <c r="B35" s="9"/>
      <c r="C35" s="9"/>
      <c r="D35" s="9"/>
      <c r="E35" s="11"/>
      <c r="F35" s="9"/>
      <c r="I35" s="7" t="str">
        <f t="shared" si="2"/>
        <v/>
      </c>
      <c r="J35" s="7" t="str">
        <f t="shared" si="3"/>
        <v/>
      </c>
      <c r="K35" s="7" t="str">
        <f t="shared" si="4"/>
        <v/>
      </c>
    </row>
    <row r="36" spans="1:11" ht="15" customHeight="1">
      <c r="A36" s="9"/>
      <c r="B36" s="9"/>
      <c r="C36" s="9"/>
      <c r="D36" s="9"/>
      <c r="E36" s="11"/>
      <c r="F36" s="9"/>
      <c r="I36" s="7" t="str">
        <f t="shared" si="2"/>
        <v/>
      </c>
      <c r="J36" s="7" t="str">
        <f t="shared" si="3"/>
        <v/>
      </c>
      <c r="K36" s="7" t="str">
        <f t="shared" si="4"/>
        <v/>
      </c>
    </row>
    <row r="37" spans="1:11" ht="15" customHeight="1">
      <c r="A37" s="9"/>
      <c r="B37" s="9"/>
      <c r="C37" s="9"/>
      <c r="D37" s="9"/>
      <c r="E37" s="11"/>
      <c r="F37" s="9"/>
      <c r="I37" s="7" t="str">
        <f t="shared" si="2"/>
        <v/>
      </c>
      <c r="J37" s="7" t="str">
        <f t="shared" si="3"/>
        <v/>
      </c>
      <c r="K37" s="7" t="str">
        <f t="shared" si="4"/>
        <v/>
      </c>
    </row>
    <row r="38" spans="1:11" ht="15" customHeight="1">
      <c r="A38" s="9"/>
      <c r="B38" s="9"/>
      <c r="C38" s="9"/>
      <c r="D38" s="9"/>
      <c r="E38" s="11"/>
      <c r="F38" s="9"/>
      <c r="I38" s="7" t="str">
        <f t="shared" ref="I38:I69" si="6">IF(OR(B38="",C38="",D38=""),"",IF(AND(B38=C38,C38=D38),"",IF(AND(B38=C38,C38&lt;&gt;D38),"Packing List vs Draft B/L",IF(AND(C38=D38,B38&lt;&gt;C38),"Commercial Invoice vs Packing List",IF(AND(B38=D38,B38&lt;&gt;C38),"Commercial Invoice vs Draft B/L","Commercial Invoice vs Packing List vs Draft B/L (all differ)")))))</f>
        <v/>
      </c>
      <c r="J38" s="7" t="str">
        <f t="shared" ref="J38:J69" si="7">IF(I38="","","Commercial Invoice: "&amp;B38&amp;"; Packing List: "&amp;C38&amp;"; Draft B/L: "&amp;D38)</f>
        <v/>
      </c>
      <c r="K38" s="7" t="str">
        <f t="shared" ref="K38:K69" si="8">IF(I38="","",IF(OR(F38="Critical",F38="High"),"🔴 Critical - Review Required","🟡 Warning - Review"))</f>
        <v/>
      </c>
    </row>
    <row r="39" spans="1:11" ht="15" customHeight="1">
      <c r="A39" s="9"/>
      <c r="B39" s="9"/>
      <c r="C39" s="9"/>
      <c r="D39" s="9"/>
      <c r="E39" s="11"/>
      <c r="F39" s="9"/>
      <c r="I39" s="7" t="str">
        <f t="shared" si="6"/>
        <v/>
      </c>
      <c r="J39" s="7" t="str">
        <f t="shared" si="7"/>
        <v/>
      </c>
      <c r="K39" s="7" t="str">
        <f t="shared" si="8"/>
        <v/>
      </c>
    </row>
    <row r="40" spans="1:11" ht="15" customHeight="1">
      <c r="A40" s="9"/>
      <c r="B40" s="9"/>
      <c r="C40" s="9"/>
      <c r="D40" s="9"/>
      <c r="E40" s="11"/>
      <c r="F40" s="9"/>
      <c r="I40" s="7" t="str">
        <f t="shared" si="6"/>
        <v/>
      </c>
      <c r="J40" s="7" t="str">
        <f t="shared" si="7"/>
        <v/>
      </c>
      <c r="K40" s="7" t="str">
        <f t="shared" si="8"/>
        <v/>
      </c>
    </row>
    <row r="41" spans="1:11" ht="15" customHeight="1">
      <c r="A41" s="9"/>
      <c r="B41" s="9"/>
      <c r="C41" s="9"/>
      <c r="D41" s="9"/>
      <c r="E41" s="11"/>
      <c r="F41" s="9"/>
      <c r="I41" s="7" t="str">
        <f t="shared" si="6"/>
        <v/>
      </c>
      <c r="J41" s="7" t="str">
        <f t="shared" si="7"/>
        <v/>
      </c>
      <c r="K41" s="7" t="str">
        <f t="shared" si="8"/>
        <v/>
      </c>
    </row>
    <row r="42" spans="1:11" ht="15" customHeight="1">
      <c r="A42" s="9"/>
      <c r="B42" s="9"/>
      <c r="C42" s="9"/>
      <c r="D42" s="9"/>
      <c r="E42" s="11"/>
      <c r="F42" s="9"/>
      <c r="I42" s="7" t="str">
        <f t="shared" si="6"/>
        <v/>
      </c>
      <c r="J42" s="7" t="str">
        <f t="shared" si="7"/>
        <v/>
      </c>
      <c r="K42" s="7" t="str">
        <f t="shared" si="8"/>
        <v/>
      </c>
    </row>
    <row r="43" spans="1:11" ht="15" customHeight="1">
      <c r="A43" s="9"/>
      <c r="B43" s="9"/>
      <c r="C43" s="9"/>
      <c r="D43" s="9"/>
      <c r="E43" s="11"/>
      <c r="F43" s="9"/>
      <c r="I43" s="7" t="str">
        <f t="shared" si="6"/>
        <v/>
      </c>
      <c r="J43" s="7" t="str">
        <f t="shared" si="7"/>
        <v/>
      </c>
      <c r="K43" s="7" t="str">
        <f t="shared" si="8"/>
        <v/>
      </c>
    </row>
    <row r="44" spans="1:11" ht="15" customHeight="1">
      <c r="A44" s="9"/>
      <c r="B44" s="9"/>
      <c r="C44" s="9"/>
      <c r="D44" s="9"/>
      <c r="E44" s="11"/>
      <c r="F44" s="9"/>
      <c r="I44" s="7" t="str">
        <f t="shared" si="6"/>
        <v/>
      </c>
      <c r="J44" s="7" t="str">
        <f t="shared" si="7"/>
        <v/>
      </c>
      <c r="K44" s="7" t="str">
        <f t="shared" si="8"/>
        <v/>
      </c>
    </row>
    <row r="45" spans="1:11" ht="15" customHeight="1">
      <c r="A45" s="9"/>
      <c r="B45" s="9"/>
      <c r="C45" s="9"/>
      <c r="D45" s="9"/>
      <c r="E45" s="11"/>
      <c r="F45" s="9"/>
      <c r="I45" s="7" t="str">
        <f t="shared" si="6"/>
        <v/>
      </c>
      <c r="J45" s="7" t="str">
        <f t="shared" si="7"/>
        <v/>
      </c>
      <c r="K45" s="7" t="str">
        <f t="shared" si="8"/>
        <v/>
      </c>
    </row>
    <row r="46" spans="1:11" ht="15" customHeight="1">
      <c r="A46" s="9"/>
      <c r="B46" s="9"/>
      <c r="C46" s="9"/>
      <c r="D46" s="9"/>
      <c r="E46" s="11"/>
      <c r="F46" s="9"/>
      <c r="I46" s="7" t="str">
        <f t="shared" si="6"/>
        <v/>
      </c>
      <c r="J46" s="7" t="str">
        <f t="shared" si="7"/>
        <v/>
      </c>
      <c r="K46" s="7" t="str">
        <f t="shared" si="8"/>
        <v/>
      </c>
    </row>
    <row r="47" spans="1:11" ht="15" customHeight="1">
      <c r="A47" s="9"/>
      <c r="B47" s="9"/>
      <c r="C47" s="9"/>
      <c r="D47" s="9"/>
      <c r="E47" s="11"/>
      <c r="F47" s="9"/>
      <c r="I47" s="7" t="str">
        <f t="shared" si="6"/>
        <v/>
      </c>
      <c r="J47" s="7" t="str">
        <f t="shared" si="7"/>
        <v/>
      </c>
      <c r="K47" s="7" t="str">
        <f t="shared" si="8"/>
        <v/>
      </c>
    </row>
    <row r="48" spans="1:11" ht="15" customHeight="1">
      <c r="A48" s="9"/>
      <c r="B48" s="9"/>
      <c r="C48" s="9"/>
      <c r="D48" s="9"/>
      <c r="E48" s="11"/>
      <c r="F48" s="9"/>
      <c r="I48" s="7" t="str">
        <f t="shared" si="6"/>
        <v/>
      </c>
      <c r="J48" s="7" t="str">
        <f t="shared" si="7"/>
        <v/>
      </c>
      <c r="K48" s="7" t="str">
        <f t="shared" si="8"/>
        <v/>
      </c>
    </row>
    <row r="49" spans="1:11" ht="15" customHeight="1">
      <c r="A49" s="9"/>
      <c r="B49" s="9"/>
      <c r="C49" s="9"/>
      <c r="D49" s="9"/>
      <c r="E49" s="11"/>
      <c r="F49" s="9"/>
      <c r="I49" s="7" t="str">
        <f t="shared" si="6"/>
        <v/>
      </c>
      <c r="J49" s="7" t="str">
        <f t="shared" si="7"/>
        <v/>
      </c>
      <c r="K49" s="7" t="str">
        <f t="shared" si="8"/>
        <v/>
      </c>
    </row>
    <row r="50" spans="1:11" ht="15" customHeight="1">
      <c r="A50" s="9"/>
      <c r="B50" s="9"/>
      <c r="C50" s="9"/>
      <c r="D50" s="9"/>
      <c r="E50" s="11"/>
      <c r="F50" s="9"/>
      <c r="I50" s="7" t="str">
        <f t="shared" si="6"/>
        <v/>
      </c>
      <c r="J50" s="7" t="str">
        <f t="shared" si="7"/>
        <v/>
      </c>
      <c r="K50" s="7" t="str">
        <f t="shared" si="8"/>
        <v/>
      </c>
    </row>
    <row r="51" spans="1:11" ht="15" customHeight="1">
      <c r="A51" s="9"/>
      <c r="B51" s="9"/>
      <c r="C51" s="9"/>
      <c r="D51" s="9"/>
      <c r="E51" s="11"/>
      <c r="F51" s="9"/>
      <c r="I51" s="7" t="str">
        <f t="shared" si="6"/>
        <v/>
      </c>
      <c r="J51" s="7" t="str">
        <f t="shared" si="7"/>
        <v/>
      </c>
      <c r="K51" s="7" t="str">
        <f t="shared" si="8"/>
        <v/>
      </c>
    </row>
    <row r="52" spans="1:11" ht="15" customHeight="1">
      <c r="A52" s="9"/>
      <c r="B52" s="9"/>
      <c r="C52" s="9"/>
      <c r="D52" s="9"/>
      <c r="E52" s="11"/>
      <c r="F52" s="9"/>
      <c r="I52" s="7" t="str">
        <f t="shared" si="6"/>
        <v/>
      </c>
      <c r="J52" s="7" t="str">
        <f t="shared" si="7"/>
        <v/>
      </c>
      <c r="K52" s="7" t="str">
        <f t="shared" si="8"/>
        <v/>
      </c>
    </row>
    <row r="53" spans="1:11" ht="15" customHeight="1">
      <c r="A53" s="9"/>
      <c r="B53" s="9"/>
      <c r="C53" s="9"/>
      <c r="D53" s="9"/>
      <c r="E53" s="11"/>
      <c r="F53" s="9"/>
      <c r="I53" s="7" t="str">
        <f t="shared" si="6"/>
        <v/>
      </c>
      <c r="J53" s="7" t="str">
        <f t="shared" si="7"/>
        <v/>
      </c>
      <c r="K53" s="7" t="str">
        <f t="shared" si="8"/>
        <v/>
      </c>
    </row>
    <row r="54" spans="1:11" ht="15" customHeight="1">
      <c r="A54" s="9"/>
      <c r="B54" s="9"/>
      <c r="C54" s="9"/>
      <c r="D54" s="9"/>
      <c r="E54" s="11"/>
      <c r="F54" s="9"/>
      <c r="I54" s="7" t="str">
        <f t="shared" si="6"/>
        <v/>
      </c>
      <c r="J54" s="7" t="str">
        <f t="shared" si="7"/>
        <v/>
      </c>
      <c r="K54" s="7" t="str">
        <f t="shared" si="8"/>
        <v/>
      </c>
    </row>
    <row r="55" spans="1:11" ht="15" customHeight="1">
      <c r="A55" s="9"/>
      <c r="B55" s="9"/>
      <c r="C55" s="9"/>
      <c r="D55" s="9"/>
      <c r="E55" s="11"/>
      <c r="F55" s="9"/>
      <c r="I55" s="7" t="str">
        <f t="shared" si="6"/>
        <v/>
      </c>
      <c r="J55" s="7" t="str">
        <f t="shared" si="7"/>
        <v/>
      </c>
      <c r="K55" s="7" t="str">
        <f t="shared" si="8"/>
        <v/>
      </c>
    </row>
    <row r="56" spans="1:11" ht="15" customHeight="1">
      <c r="A56" s="9"/>
      <c r="B56" s="9"/>
      <c r="C56" s="9"/>
      <c r="D56" s="9"/>
      <c r="E56" s="11"/>
      <c r="F56" s="9"/>
      <c r="I56" s="7" t="str">
        <f t="shared" si="6"/>
        <v/>
      </c>
      <c r="J56" s="7" t="str">
        <f t="shared" si="7"/>
        <v/>
      </c>
      <c r="K56" s="7" t="str">
        <f t="shared" si="8"/>
        <v/>
      </c>
    </row>
    <row r="57" spans="1:11" ht="15" customHeight="1">
      <c r="A57" s="9"/>
      <c r="B57" s="9"/>
      <c r="C57" s="9"/>
      <c r="D57" s="9"/>
      <c r="E57" s="11"/>
      <c r="F57" s="9"/>
      <c r="I57" s="7" t="str">
        <f t="shared" si="6"/>
        <v/>
      </c>
      <c r="J57" s="7" t="str">
        <f t="shared" si="7"/>
        <v/>
      </c>
      <c r="K57" s="7" t="str">
        <f t="shared" si="8"/>
        <v/>
      </c>
    </row>
    <row r="58" spans="1:11" ht="15" customHeight="1">
      <c r="A58" s="9"/>
      <c r="B58" s="9"/>
      <c r="C58" s="9"/>
      <c r="D58" s="9"/>
      <c r="E58" s="11"/>
      <c r="F58" s="9"/>
      <c r="I58" s="7" t="str">
        <f t="shared" si="6"/>
        <v/>
      </c>
      <c r="J58" s="7" t="str">
        <f t="shared" si="7"/>
        <v/>
      </c>
      <c r="K58" s="7" t="str">
        <f t="shared" si="8"/>
        <v/>
      </c>
    </row>
    <row r="59" spans="1:11" ht="15" customHeight="1">
      <c r="A59" s="9"/>
      <c r="B59" s="9"/>
      <c r="C59" s="9"/>
      <c r="D59" s="9"/>
      <c r="E59" s="11"/>
      <c r="F59" s="9"/>
      <c r="I59" s="7" t="str">
        <f t="shared" si="6"/>
        <v/>
      </c>
      <c r="J59" s="7" t="str">
        <f t="shared" si="7"/>
        <v/>
      </c>
      <c r="K59" s="7" t="str">
        <f t="shared" si="8"/>
        <v/>
      </c>
    </row>
    <row r="60" spans="1:11" ht="15" customHeight="1">
      <c r="A60" s="9"/>
      <c r="B60" s="9"/>
      <c r="C60" s="9"/>
      <c r="D60" s="9"/>
      <c r="E60" s="11"/>
      <c r="F60" s="9"/>
      <c r="I60" s="7" t="str">
        <f t="shared" si="6"/>
        <v/>
      </c>
      <c r="J60" s="7" t="str">
        <f t="shared" si="7"/>
        <v/>
      </c>
      <c r="K60" s="7" t="str">
        <f t="shared" si="8"/>
        <v/>
      </c>
    </row>
    <row r="61" spans="1:11" ht="15" customHeight="1">
      <c r="A61" s="9"/>
      <c r="B61" s="9"/>
      <c r="C61" s="9"/>
      <c r="D61" s="9"/>
      <c r="E61" s="11"/>
      <c r="F61" s="9"/>
      <c r="I61" s="7" t="str">
        <f t="shared" si="6"/>
        <v/>
      </c>
      <c r="J61" s="7" t="str">
        <f t="shared" si="7"/>
        <v/>
      </c>
      <c r="K61" s="7" t="str">
        <f t="shared" si="8"/>
        <v/>
      </c>
    </row>
    <row r="62" spans="1:11" ht="15" customHeight="1">
      <c r="A62" s="9"/>
      <c r="B62" s="9"/>
      <c r="C62" s="9"/>
      <c r="D62" s="9"/>
      <c r="E62" s="11"/>
      <c r="F62" s="9"/>
      <c r="I62" s="7" t="str">
        <f t="shared" si="6"/>
        <v/>
      </c>
      <c r="J62" s="7" t="str">
        <f t="shared" si="7"/>
        <v/>
      </c>
      <c r="K62" s="7" t="str">
        <f t="shared" si="8"/>
        <v/>
      </c>
    </row>
    <row r="63" spans="1:11" ht="15" customHeight="1">
      <c r="A63" s="9"/>
      <c r="B63" s="9"/>
      <c r="C63" s="9"/>
      <c r="D63" s="9"/>
      <c r="E63" s="11"/>
      <c r="F63" s="9"/>
      <c r="I63" s="7" t="str">
        <f t="shared" si="6"/>
        <v/>
      </c>
      <c r="J63" s="7" t="str">
        <f t="shared" si="7"/>
        <v/>
      </c>
      <c r="K63" s="7" t="str">
        <f t="shared" si="8"/>
        <v/>
      </c>
    </row>
    <row r="64" spans="1:11" ht="15" customHeight="1">
      <c r="A64" s="9"/>
      <c r="B64" s="9"/>
      <c r="C64" s="9"/>
      <c r="D64" s="9"/>
      <c r="E64" s="11"/>
      <c r="F64" s="9"/>
      <c r="I64" s="7" t="str">
        <f t="shared" si="6"/>
        <v/>
      </c>
      <c r="J64" s="7" t="str">
        <f t="shared" si="7"/>
        <v/>
      </c>
      <c r="K64" s="7" t="str">
        <f t="shared" si="8"/>
        <v/>
      </c>
    </row>
    <row r="65" spans="1:11" ht="15" customHeight="1">
      <c r="A65" s="9"/>
      <c r="B65" s="9"/>
      <c r="C65" s="9"/>
      <c r="D65" s="9"/>
      <c r="E65" s="11"/>
      <c r="F65" s="9"/>
      <c r="I65" s="7" t="str">
        <f t="shared" si="6"/>
        <v/>
      </c>
      <c r="J65" s="7" t="str">
        <f t="shared" si="7"/>
        <v/>
      </c>
      <c r="K65" s="7" t="str">
        <f t="shared" si="8"/>
        <v/>
      </c>
    </row>
    <row r="66" spans="1:11" ht="15" customHeight="1">
      <c r="A66" s="9"/>
      <c r="B66" s="9"/>
      <c r="C66" s="9"/>
      <c r="D66" s="9"/>
      <c r="E66" s="11"/>
      <c r="F66" s="9"/>
      <c r="I66" s="7" t="str">
        <f t="shared" si="6"/>
        <v/>
      </c>
      <c r="J66" s="7" t="str">
        <f t="shared" si="7"/>
        <v/>
      </c>
      <c r="K66" s="7" t="str">
        <f t="shared" si="8"/>
        <v/>
      </c>
    </row>
    <row r="67" spans="1:11" ht="15" customHeight="1">
      <c r="A67" s="9"/>
      <c r="B67" s="9"/>
      <c r="C67" s="9"/>
      <c r="D67" s="9"/>
      <c r="E67" s="11"/>
      <c r="F67" s="9"/>
      <c r="I67" s="7" t="str">
        <f t="shared" si="6"/>
        <v/>
      </c>
      <c r="J67" s="7" t="str">
        <f t="shared" si="7"/>
        <v/>
      </c>
      <c r="K67" s="7" t="str">
        <f t="shared" si="8"/>
        <v/>
      </c>
    </row>
    <row r="68" spans="1:11" ht="15" customHeight="1">
      <c r="A68" s="9"/>
      <c r="B68" s="9"/>
      <c r="C68" s="9"/>
      <c r="D68" s="9"/>
      <c r="E68" s="11"/>
      <c r="F68" s="9"/>
      <c r="I68" s="7" t="str">
        <f t="shared" si="6"/>
        <v/>
      </c>
      <c r="J68" s="7" t="str">
        <f t="shared" si="7"/>
        <v/>
      </c>
      <c r="K68" s="7" t="str">
        <f t="shared" si="8"/>
        <v/>
      </c>
    </row>
    <row r="69" spans="1:11" ht="15" customHeight="1">
      <c r="A69" s="9"/>
      <c r="B69" s="9"/>
      <c r="C69" s="9"/>
      <c r="D69" s="9"/>
      <c r="E69" s="11"/>
      <c r="F69" s="9"/>
      <c r="I69" s="7" t="str">
        <f t="shared" si="6"/>
        <v/>
      </c>
      <c r="J69" s="7" t="str">
        <f t="shared" si="7"/>
        <v/>
      </c>
      <c r="K69" s="7" t="str">
        <f t="shared" si="8"/>
        <v/>
      </c>
    </row>
    <row r="70" spans="1:11" ht="15" customHeight="1">
      <c r="A70" s="9"/>
      <c r="B70" s="9"/>
      <c r="C70" s="9"/>
      <c r="D70" s="9"/>
      <c r="E70" s="11"/>
      <c r="F70" s="9"/>
      <c r="I70" s="7" t="str">
        <f t="shared" ref="I70:I104" si="9">IF(OR(B70="",C70="",D70=""),"",IF(AND(B70=C70,C70=D70),"",IF(AND(B70=C70,C70&lt;&gt;D70),"Packing List vs Draft B/L",IF(AND(C70=D70,B70&lt;&gt;C70),"Commercial Invoice vs Packing List",IF(AND(B70=D70,B70&lt;&gt;C70),"Commercial Invoice vs Draft B/L","Commercial Invoice vs Packing List vs Draft B/L (all differ)")))))</f>
        <v/>
      </c>
      <c r="J70" s="7" t="str">
        <f t="shared" ref="J70:J101" si="10">IF(I70="","","Commercial Invoice: "&amp;B70&amp;"; Packing List: "&amp;C70&amp;"; Draft B/L: "&amp;D70)</f>
        <v/>
      </c>
      <c r="K70" s="7" t="str">
        <f t="shared" ref="K70:K104" si="11">IF(I70="","",IF(OR(F70="Critical",F70="High"),"🔴 Critical - Review Required","🟡 Warning - Review"))</f>
        <v/>
      </c>
    </row>
    <row r="71" spans="1:11" ht="15" customHeight="1">
      <c r="A71" s="9"/>
      <c r="B71" s="9"/>
      <c r="C71" s="9"/>
      <c r="D71" s="9"/>
      <c r="E71" s="11"/>
      <c r="F71" s="9"/>
      <c r="I71" s="7" t="str">
        <f t="shared" si="9"/>
        <v/>
      </c>
      <c r="J71" s="7" t="str">
        <f t="shared" si="10"/>
        <v/>
      </c>
      <c r="K71" s="7" t="str">
        <f t="shared" si="11"/>
        <v/>
      </c>
    </row>
    <row r="72" spans="1:11" ht="15" customHeight="1">
      <c r="A72" s="9"/>
      <c r="B72" s="9"/>
      <c r="C72" s="9"/>
      <c r="D72" s="9"/>
      <c r="E72" s="11"/>
      <c r="F72" s="9"/>
      <c r="I72" s="7" t="str">
        <f t="shared" si="9"/>
        <v/>
      </c>
      <c r="J72" s="7" t="str">
        <f t="shared" si="10"/>
        <v/>
      </c>
      <c r="K72" s="7" t="str">
        <f t="shared" si="11"/>
        <v/>
      </c>
    </row>
    <row r="73" spans="1:11" ht="15" customHeight="1">
      <c r="A73" s="9"/>
      <c r="B73" s="9"/>
      <c r="C73" s="9"/>
      <c r="D73" s="9"/>
      <c r="E73" s="11"/>
      <c r="F73" s="9"/>
      <c r="I73" s="7" t="str">
        <f t="shared" si="9"/>
        <v/>
      </c>
      <c r="J73" s="7" t="str">
        <f t="shared" si="10"/>
        <v/>
      </c>
      <c r="K73" s="7" t="str">
        <f t="shared" si="11"/>
        <v/>
      </c>
    </row>
    <row r="74" spans="1:11" ht="15" customHeight="1">
      <c r="A74" s="9"/>
      <c r="B74" s="9"/>
      <c r="C74" s="9"/>
      <c r="D74" s="9"/>
      <c r="E74" s="11"/>
      <c r="F74" s="9"/>
      <c r="I74" s="7" t="str">
        <f t="shared" si="9"/>
        <v/>
      </c>
      <c r="J74" s="7" t="str">
        <f t="shared" si="10"/>
        <v/>
      </c>
      <c r="K74" s="7" t="str">
        <f t="shared" si="11"/>
        <v/>
      </c>
    </row>
    <row r="75" spans="1:11" ht="15" customHeight="1">
      <c r="A75" s="9"/>
      <c r="B75" s="9"/>
      <c r="C75" s="9"/>
      <c r="D75" s="9"/>
      <c r="E75" s="11"/>
      <c r="F75" s="9"/>
      <c r="I75" s="7" t="str">
        <f t="shared" si="9"/>
        <v/>
      </c>
      <c r="J75" s="7" t="str">
        <f t="shared" si="10"/>
        <v/>
      </c>
      <c r="K75" s="7" t="str">
        <f t="shared" si="11"/>
        <v/>
      </c>
    </row>
    <row r="76" spans="1:11" ht="15" customHeight="1">
      <c r="A76" s="9"/>
      <c r="B76" s="9"/>
      <c r="C76" s="9"/>
      <c r="D76" s="9"/>
      <c r="E76" s="11"/>
      <c r="F76" s="9"/>
      <c r="I76" s="7" t="str">
        <f t="shared" si="9"/>
        <v/>
      </c>
      <c r="J76" s="7" t="str">
        <f t="shared" si="10"/>
        <v/>
      </c>
      <c r="K76" s="7" t="str">
        <f t="shared" si="11"/>
        <v/>
      </c>
    </row>
    <row r="77" spans="1:11" ht="15" customHeight="1">
      <c r="A77" s="9"/>
      <c r="B77" s="9"/>
      <c r="C77" s="9"/>
      <c r="D77" s="9"/>
      <c r="E77" s="11"/>
      <c r="F77" s="9"/>
      <c r="I77" s="7" t="str">
        <f t="shared" si="9"/>
        <v/>
      </c>
      <c r="J77" s="7" t="str">
        <f t="shared" si="10"/>
        <v/>
      </c>
      <c r="K77" s="7" t="str">
        <f t="shared" si="11"/>
        <v/>
      </c>
    </row>
    <row r="78" spans="1:11" ht="15" customHeight="1">
      <c r="A78" s="9"/>
      <c r="B78" s="9"/>
      <c r="C78" s="9"/>
      <c r="D78" s="9"/>
      <c r="E78" s="11"/>
      <c r="F78" s="9"/>
      <c r="I78" s="7" t="str">
        <f t="shared" si="9"/>
        <v/>
      </c>
      <c r="J78" s="7" t="str">
        <f t="shared" si="10"/>
        <v/>
      </c>
      <c r="K78" s="7" t="str">
        <f t="shared" si="11"/>
        <v/>
      </c>
    </row>
    <row r="79" spans="1:11" ht="15" customHeight="1">
      <c r="A79" s="9"/>
      <c r="B79" s="9"/>
      <c r="C79" s="9"/>
      <c r="D79" s="9"/>
      <c r="E79" s="11"/>
      <c r="F79" s="9"/>
      <c r="I79" s="7" t="str">
        <f t="shared" si="9"/>
        <v/>
      </c>
      <c r="J79" s="7" t="str">
        <f t="shared" si="10"/>
        <v/>
      </c>
      <c r="K79" s="7" t="str">
        <f t="shared" si="11"/>
        <v/>
      </c>
    </row>
    <row r="80" spans="1:11" ht="15" customHeight="1">
      <c r="A80" s="9"/>
      <c r="B80" s="9"/>
      <c r="C80" s="9"/>
      <c r="D80" s="9"/>
      <c r="E80" s="11"/>
      <c r="F80" s="9"/>
      <c r="I80" s="7" t="str">
        <f t="shared" si="9"/>
        <v/>
      </c>
      <c r="J80" s="7" t="str">
        <f t="shared" si="10"/>
        <v/>
      </c>
      <c r="K80" s="7" t="str">
        <f t="shared" si="11"/>
        <v/>
      </c>
    </row>
    <row r="81" spans="1:11" ht="15" customHeight="1">
      <c r="A81" s="9"/>
      <c r="B81" s="9"/>
      <c r="C81" s="9"/>
      <c r="D81" s="9"/>
      <c r="E81" s="11"/>
      <c r="F81" s="9"/>
      <c r="I81" s="7" t="str">
        <f t="shared" si="9"/>
        <v/>
      </c>
      <c r="J81" s="7" t="str">
        <f t="shared" si="10"/>
        <v/>
      </c>
      <c r="K81" s="7" t="str">
        <f t="shared" si="11"/>
        <v/>
      </c>
    </row>
    <row r="82" spans="1:11" ht="15" customHeight="1">
      <c r="A82" s="9"/>
      <c r="B82" s="9"/>
      <c r="C82" s="9"/>
      <c r="D82" s="9"/>
      <c r="E82" s="11"/>
      <c r="F82" s="9"/>
      <c r="I82" s="7" t="str">
        <f t="shared" si="9"/>
        <v/>
      </c>
      <c r="J82" s="7" t="str">
        <f t="shared" si="10"/>
        <v/>
      </c>
      <c r="K82" s="7" t="str">
        <f t="shared" si="11"/>
        <v/>
      </c>
    </row>
    <row r="83" spans="1:11" ht="15" customHeight="1">
      <c r="A83" s="9"/>
      <c r="B83" s="9"/>
      <c r="C83" s="9"/>
      <c r="D83" s="9"/>
      <c r="E83" s="11"/>
      <c r="F83" s="9"/>
      <c r="I83" s="7" t="str">
        <f t="shared" si="9"/>
        <v/>
      </c>
      <c r="J83" s="7" t="str">
        <f t="shared" si="10"/>
        <v/>
      </c>
      <c r="K83" s="7" t="str">
        <f t="shared" si="11"/>
        <v/>
      </c>
    </row>
    <row r="84" spans="1:11" ht="15" customHeight="1">
      <c r="A84" s="9"/>
      <c r="B84" s="9"/>
      <c r="C84" s="9"/>
      <c r="D84" s="9"/>
      <c r="E84" s="11"/>
      <c r="F84" s="9"/>
      <c r="I84" s="7" t="str">
        <f t="shared" si="9"/>
        <v/>
      </c>
      <c r="J84" s="7" t="str">
        <f t="shared" si="10"/>
        <v/>
      </c>
      <c r="K84" s="7" t="str">
        <f t="shared" si="11"/>
        <v/>
      </c>
    </row>
    <row r="85" spans="1:11" ht="15" customHeight="1">
      <c r="A85" s="9"/>
      <c r="B85" s="9"/>
      <c r="C85" s="9"/>
      <c r="D85" s="9"/>
      <c r="E85" s="11"/>
      <c r="F85" s="9"/>
      <c r="I85" s="7" t="str">
        <f t="shared" si="9"/>
        <v/>
      </c>
      <c r="J85" s="7" t="str">
        <f t="shared" si="10"/>
        <v/>
      </c>
      <c r="K85" s="7" t="str">
        <f t="shared" si="11"/>
        <v/>
      </c>
    </row>
    <row r="86" spans="1:11" ht="15" customHeight="1">
      <c r="A86" s="9"/>
      <c r="B86" s="9"/>
      <c r="C86" s="9"/>
      <c r="D86" s="9"/>
      <c r="E86" s="11"/>
      <c r="F86" s="9"/>
      <c r="I86" s="7" t="str">
        <f t="shared" si="9"/>
        <v/>
      </c>
      <c r="J86" s="7" t="str">
        <f t="shared" si="10"/>
        <v/>
      </c>
      <c r="K86" s="7" t="str">
        <f t="shared" si="11"/>
        <v/>
      </c>
    </row>
    <row r="87" spans="1:11" ht="15" customHeight="1">
      <c r="A87" s="9"/>
      <c r="B87" s="9"/>
      <c r="C87" s="9"/>
      <c r="D87" s="9"/>
      <c r="E87" s="11"/>
      <c r="F87" s="9"/>
      <c r="I87" s="7" t="str">
        <f t="shared" si="9"/>
        <v/>
      </c>
      <c r="J87" s="7" t="str">
        <f t="shared" si="10"/>
        <v/>
      </c>
      <c r="K87" s="7" t="str">
        <f t="shared" si="11"/>
        <v/>
      </c>
    </row>
    <row r="88" spans="1:11" ht="15" customHeight="1">
      <c r="A88" s="9"/>
      <c r="B88" s="9"/>
      <c r="C88" s="9"/>
      <c r="D88" s="9"/>
      <c r="E88" s="11"/>
      <c r="F88" s="9"/>
      <c r="I88" s="7" t="str">
        <f t="shared" si="9"/>
        <v/>
      </c>
      <c r="J88" s="7" t="str">
        <f t="shared" si="10"/>
        <v/>
      </c>
      <c r="K88" s="7" t="str">
        <f t="shared" si="11"/>
        <v/>
      </c>
    </row>
    <row r="89" spans="1:11" ht="15" customHeight="1">
      <c r="A89" s="9"/>
      <c r="B89" s="9"/>
      <c r="C89" s="9"/>
      <c r="D89" s="9"/>
      <c r="E89" s="11"/>
      <c r="F89" s="9"/>
      <c r="I89" s="7" t="str">
        <f t="shared" si="9"/>
        <v/>
      </c>
      <c r="J89" s="7" t="str">
        <f t="shared" si="10"/>
        <v/>
      </c>
      <c r="K89" s="7" t="str">
        <f t="shared" si="11"/>
        <v/>
      </c>
    </row>
    <row r="90" spans="1:11" ht="15" customHeight="1">
      <c r="A90" s="9"/>
      <c r="B90" s="9"/>
      <c r="C90" s="9"/>
      <c r="D90" s="9"/>
      <c r="E90" s="11"/>
      <c r="F90" s="9"/>
      <c r="I90" s="7" t="str">
        <f t="shared" si="9"/>
        <v/>
      </c>
      <c r="J90" s="7" t="str">
        <f t="shared" si="10"/>
        <v/>
      </c>
      <c r="K90" s="7" t="str">
        <f t="shared" si="11"/>
        <v/>
      </c>
    </row>
    <row r="91" spans="1:11" ht="15" customHeight="1">
      <c r="A91" s="9"/>
      <c r="B91" s="9"/>
      <c r="C91" s="9"/>
      <c r="D91" s="9"/>
      <c r="E91" s="11"/>
      <c r="F91" s="9"/>
      <c r="I91" s="7" t="str">
        <f t="shared" si="9"/>
        <v/>
      </c>
      <c r="J91" s="7" t="str">
        <f t="shared" si="10"/>
        <v/>
      </c>
      <c r="K91" s="7" t="str">
        <f t="shared" si="11"/>
        <v/>
      </c>
    </row>
    <row r="92" spans="1:11" ht="15" customHeight="1">
      <c r="A92" s="9"/>
      <c r="B92" s="9"/>
      <c r="C92" s="9"/>
      <c r="D92" s="9"/>
      <c r="E92" s="11"/>
      <c r="F92" s="9"/>
      <c r="I92" s="7" t="str">
        <f t="shared" si="9"/>
        <v/>
      </c>
      <c r="J92" s="7" t="str">
        <f t="shared" si="10"/>
        <v/>
      </c>
      <c r="K92" s="7" t="str">
        <f t="shared" si="11"/>
        <v/>
      </c>
    </row>
    <row r="93" spans="1:11" ht="15" customHeight="1">
      <c r="A93" s="9"/>
      <c r="B93" s="9"/>
      <c r="C93" s="9"/>
      <c r="D93" s="9"/>
      <c r="E93" s="11"/>
      <c r="F93" s="9"/>
      <c r="I93" s="7" t="str">
        <f t="shared" si="9"/>
        <v/>
      </c>
      <c r="J93" s="7" t="str">
        <f t="shared" si="10"/>
        <v/>
      </c>
      <c r="K93" s="7" t="str">
        <f t="shared" si="11"/>
        <v/>
      </c>
    </row>
    <row r="94" spans="1:11" ht="15" customHeight="1">
      <c r="A94" s="9"/>
      <c r="B94" s="9"/>
      <c r="C94" s="9"/>
      <c r="D94" s="9"/>
      <c r="E94" s="11"/>
      <c r="F94" s="9"/>
      <c r="I94" s="7" t="str">
        <f t="shared" si="9"/>
        <v/>
      </c>
      <c r="J94" s="7" t="str">
        <f t="shared" si="10"/>
        <v/>
      </c>
      <c r="K94" s="7" t="str">
        <f t="shared" si="11"/>
        <v/>
      </c>
    </row>
    <row r="95" spans="1:11" ht="15" customHeight="1">
      <c r="A95" s="9"/>
      <c r="B95" s="9"/>
      <c r="C95" s="9"/>
      <c r="D95" s="9"/>
      <c r="E95" s="11"/>
      <c r="F95" s="9"/>
      <c r="I95" s="7" t="str">
        <f t="shared" si="9"/>
        <v/>
      </c>
      <c r="J95" s="7" t="str">
        <f t="shared" si="10"/>
        <v/>
      </c>
      <c r="K95" s="7" t="str">
        <f t="shared" si="11"/>
        <v/>
      </c>
    </row>
    <row r="96" spans="1:11" ht="15" customHeight="1">
      <c r="A96" s="9"/>
      <c r="B96" s="9"/>
      <c r="C96" s="9"/>
      <c r="D96" s="9"/>
      <c r="E96" s="11"/>
      <c r="F96" s="9"/>
      <c r="I96" s="7" t="str">
        <f t="shared" si="9"/>
        <v/>
      </c>
      <c r="J96" s="7" t="str">
        <f t="shared" si="10"/>
        <v/>
      </c>
      <c r="K96" s="7" t="str">
        <f t="shared" si="11"/>
        <v/>
      </c>
    </row>
    <row r="97" spans="1:11" ht="15" customHeight="1">
      <c r="A97" s="9"/>
      <c r="B97" s="9"/>
      <c r="C97" s="9"/>
      <c r="D97" s="9"/>
      <c r="E97" s="11"/>
      <c r="F97" s="9"/>
      <c r="I97" s="7" t="str">
        <f t="shared" si="9"/>
        <v/>
      </c>
      <c r="J97" s="7" t="str">
        <f t="shared" si="10"/>
        <v/>
      </c>
      <c r="K97" s="7" t="str">
        <f t="shared" si="11"/>
        <v/>
      </c>
    </row>
    <row r="98" spans="1:11" ht="15" customHeight="1">
      <c r="A98" s="9"/>
      <c r="B98" s="9"/>
      <c r="C98" s="9"/>
      <c r="D98" s="9"/>
      <c r="E98" s="11"/>
      <c r="F98" s="9"/>
      <c r="I98" s="7" t="str">
        <f t="shared" si="9"/>
        <v/>
      </c>
      <c r="J98" s="7" t="str">
        <f t="shared" si="10"/>
        <v/>
      </c>
      <c r="K98" s="7" t="str">
        <f t="shared" si="11"/>
        <v/>
      </c>
    </row>
    <row r="99" spans="1:11" ht="15" customHeight="1">
      <c r="A99" s="9"/>
      <c r="B99" s="9"/>
      <c r="C99" s="9"/>
      <c r="D99" s="9"/>
      <c r="E99" s="11"/>
      <c r="F99" s="9"/>
      <c r="I99" s="7" t="str">
        <f t="shared" si="9"/>
        <v/>
      </c>
      <c r="J99" s="7" t="str">
        <f t="shared" si="10"/>
        <v/>
      </c>
      <c r="K99" s="7" t="str">
        <f t="shared" si="11"/>
        <v/>
      </c>
    </row>
    <row r="100" spans="1:11" ht="15" customHeight="1">
      <c r="A100" s="9"/>
      <c r="B100" s="9"/>
      <c r="C100" s="9"/>
      <c r="D100" s="9"/>
      <c r="E100" s="11"/>
      <c r="F100" s="9"/>
      <c r="I100" s="7" t="str">
        <f t="shared" si="9"/>
        <v/>
      </c>
      <c r="J100" s="7" t="str">
        <f t="shared" si="10"/>
        <v/>
      </c>
      <c r="K100" s="7" t="str">
        <f t="shared" si="11"/>
        <v/>
      </c>
    </row>
    <row r="101" spans="1:11" ht="15" customHeight="1">
      <c r="A101" s="9"/>
      <c r="B101" s="9"/>
      <c r="C101" s="9"/>
      <c r="D101" s="9"/>
      <c r="E101" s="11"/>
      <c r="F101" s="9"/>
      <c r="I101" s="7" t="str">
        <f t="shared" si="9"/>
        <v/>
      </c>
      <c r="J101" s="7" t="str">
        <f t="shared" si="10"/>
        <v/>
      </c>
      <c r="K101" s="7" t="str">
        <f t="shared" si="11"/>
        <v/>
      </c>
    </row>
    <row r="102" spans="1:11" ht="15" customHeight="1">
      <c r="A102" s="9"/>
      <c r="B102" s="9"/>
      <c r="C102" s="9"/>
      <c r="D102" s="9"/>
      <c r="E102" s="11"/>
      <c r="F102" s="9"/>
      <c r="I102" s="7" t="str">
        <f t="shared" si="9"/>
        <v/>
      </c>
      <c r="J102" s="7" t="str">
        <f t="shared" ref="J102:J133" si="12">IF(I102="","","Commercial Invoice: "&amp;B102&amp;"; Packing List: "&amp;C102&amp;"; Draft B/L: "&amp;D102)</f>
        <v/>
      </c>
      <c r="K102" s="7" t="str">
        <f t="shared" si="11"/>
        <v/>
      </c>
    </row>
    <row r="103" spans="1:11" ht="15" customHeight="1">
      <c r="A103" s="9"/>
      <c r="B103" s="9"/>
      <c r="C103" s="9"/>
      <c r="D103" s="9"/>
      <c r="E103" s="11"/>
      <c r="F103" s="9"/>
      <c r="I103" s="7" t="str">
        <f t="shared" si="9"/>
        <v/>
      </c>
      <c r="J103" s="7" t="str">
        <f t="shared" si="12"/>
        <v/>
      </c>
      <c r="K103" s="7" t="str">
        <f t="shared" si="11"/>
        <v/>
      </c>
    </row>
    <row r="104" spans="1:11" ht="15" customHeight="1">
      <c r="A104" s="9"/>
      <c r="B104" s="9"/>
      <c r="C104" s="9"/>
      <c r="D104" s="9"/>
      <c r="E104" s="11"/>
      <c r="F104" s="9"/>
      <c r="I104" s="7" t="str">
        <f t="shared" si="9"/>
        <v/>
      </c>
      <c r="J104" s="7" t="str">
        <f t="shared" si="12"/>
        <v/>
      </c>
      <c r="K104" s="7" t="str">
        <f t="shared" si="11"/>
        <v/>
      </c>
    </row>
    <row r="106" spans="1:11" ht="15" customHeight="1">
      <c r="A106" s="3" t="s">
        <v>40</v>
      </c>
      <c r="B106" s="3"/>
      <c r="C106" s="3"/>
      <c r="D106" s="3"/>
      <c r="E106" s="3"/>
      <c r="F106" s="3"/>
    </row>
  </sheetData>
  <mergeCells count="8">
    <mergeCell ref="A22:F22"/>
    <mergeCell ref="A23:F23"/>
    <mergeCell ref="A106:F106"/>
    <mergeCell ref="A1:F1"/>
    <mergeCell ref="A2:F2"/>
    <mergeCell ref="A3:F3"/>
    <mergeCell ref="A19:F19"/>
    <mergeCell ref="A20:F20"/>
  </mergeCells>
  <conditionalFormatting sqref="E5:E15">
    <cfRule type="expression" dxfId="11" priority="8">
      <formula>LEFT(E5,1)="🔴"</formula>
    </cfRule>
    <cfRule type="expression" dxfId="10" priority="9">
      <formula>LEFT(E5,1)="🟡"</formula>
    </cfRule>
    <cfRule type="expression" dxfId="9" priority="10">
      <formula>LEFT(E5,1)="🟢"</formula>
    </cfRule>
  </conditionalFormatting>
  <conditionalFormatting sqref="E25">
    <cfRule type="expression" dxfId="5" priority="4">
      <formula>LEFT(E25,1)="🔴"</formula>
    </cfRule>
    <cfRule type="expression" dxfId="4" priority="5">
      <formula>LEFT(E25,1)="🟡"</formula>
    </cfRule>
    <cfRule type="expression" dxfId="3" priority="6">
      <formula>LEFT(E25,1)="🟢"</formula>
    </cfRule>
  </conditionalFormatting>
  <conditionalFormatting sqref="E26:E27">
    <cfRule type="expression" dxfId="2" priority="1">
      <formula>LEFT(E26,1)="🔴"</formula>
    </cfRule>
    <cfRule type="expression" dxfId="1" priority="2">
      <formula>LEFT(E26,1)="🟡"</formula>
    </cfRule>
    <cfRule type="expression" dxfId="0" priority="3">
      <formula>LEFT(E26,1)="🟢"</formula>
    </cfRule>
  </conditionalFormatting>
  <pageMargins left="0.75" right="0.75" top="1" bottom="1" header="0.511811023622047" footer="0.51180555555555596"/>
  <pageSetup paperSize="9" orientation="portrait" horizontalDpi="300" verticalDpi="300"/>
  <headerFooter>
    <oddFooter>&amp;C&amp;8 Samim Craft — Export Shipment Control Workbook (v4) | certcraft25@gmail.com | Free validation build — not for redistribution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zoomScaleNormal="100" workbookViewId="0">
      <pane ySplit="4" topLeftCell="A5" activePane="bottomLeft" state="frozen"/>
      <selection pane="bottomLeft" activeCell="A10" sqref="A10"/>
    </sheetView>
  </sheetViews>
  <sheetFormatPr defaultColWidth="8.6328125" defaultRowHeight="14.5"/>
  <cols>
    <col min="1" max="1" width="16" style="7" customWidth="1"/>
    <col min="2" max="2" width="18" style="7" customWidth="1"/>
    <col min="3" max="4" width="28" style="7" customWidth="1"/>
    <col min="5" max="5" width="48" style="7" customWidth="1"/>
    <col min="6" max="8" width="24" style="7" customWidth="1"/>
    <col min="9" max="9" width="35" style="7" customWidth="1"/>
  </cols>
  <sheetData>
    <row r="1" spans="1:9" ht="17.25" customHeight="1">
      <c r="A1" s="6" t="s">
        <v>97</v>
      </c>
      <c r="B1" s="6"/>
      <c r="C1" s="6"/>
      <c r="D1" s="6"/>
      <c r="E1" s="6"/>
      <c r="F1" s="6"/>
      <c r="G1" s="6"/>
      <c r="H1" s="6"/>
      <c r="I1" s="6"/>
    </row>
    <row r="2" spans="1:9" ht="15" customHeight="1">
      <c r="A2" s="5" t="s">
        <v>1</v>
      </c>
      <c r="B2" s="5"/>
      <c r="C2" s="5"/>
      <c r="D2" s="5"/>
      <c r="E2" s="5"/>
      <c r="F2" s="5"/>
      <c r="G2" s="5"/>
      <c r="H2" s="5"/>
      <c r="I2" s="5"/>
    </row>
    <row r="4" spans="1:9" ht="15" customHeight="1">
      <c r="A4" s="8" t="s">
        <v>98</v>
      </c>
      <c r="B4" s="8" t="s">
        <v>3</v>
      </c>
      <c r="C4" s="8" t="s">
        <v>99</v>
      </c>
      <c r="D4" s="8" t="s">
        <v>100</v>
      </c>
      <c r="E4" s="8" t="s">
        <v>101</v>
      </c>
      <c r="F4" s="8" t="s">
        <v>102</v>
      </c>
      <c r="G4" s="8" t="s">
        <v>103</v>
      </c>
      <c r="H4" s="8" t="s">
        <v>104</v>
      </c>
      <c r="I4" s="8" t="s">
        <v>105</v>
      </c>
    </row>
    <row r="5" spans="1:9" ht="23.25" customHeight="1">
      <c r="A5" s="9" t="s">
        <v>106</v>
      </c>
      <c r="B5" s="9" t="s">
        <v>13</v>
      </c>
      <c r="C5" s="9" t="s">
        <v>107</v>
      </c>
      <c r="D5" s="9" t="s">
        <v>84</v>
      </c>
      <c r="E5" s="9" t="s">
        <v>108</v>
      </c>
      <c r="F5" s="9" t="s">
        <v>109</v>
      </c>
      <c r="G5" s="9" t="s">
        <v>110</v>
      </c>
      <c r="H5" s="9" t="s">
        <v>111</v>
      </c>
      <c r="I5" s="9"/>
    </row>
    <row r="6" spans="1:9" ht="23.25" customHeight="1">
      <c r="A6" s="9" t="s">
        <v>112</v>
      </c>
      <c r="B6" s="9" t="s">
        <v>13</v>
      </c>
      <c r="C6" s="9" t="s">
        <v>113</v>
      </c>
      <c r="D6" s="9" t="s">
        <v>81</v>
      </c>
      <c r="E6" s="9" t="s">
        <v>114</v>
      </c>
      <c r="F6" s="9" t="s">
        <v>115</v>
      </c>
      <c r="G6" s="9" t="s">
        <v>116</v>
      </c>
      <c r="H6" s="9" t="s">
        <v>117</v>
      </c>
      <c r="I6" s="9"/>
    </row>
    <row r="7" spans="1:9" ht="23.25" customHeight="1">
      <c r="A7" s="9" t="s">
        <v>118</v>
      </c>
      <c r="B7" s="9" t="s">
        <v>13</v>
      </c>
      <c r="C7" s="9" t="s">
        <v>113</v>
      </c>
      <c r="D7" s="9" t="s">
        <v>86</v>
      </c>
      <c r="E7" s="9" t="s">
        <v>119</v>
      </c>
      <c r="F7" s="9" t="s">
        <v>115</v>
      </c>
      <c r="G7" s="9" t="s">
        <v>116</v>
      </c>
      <c r="H7" s="9" t="s">
        <v>111</v>
      </c>
      <c r="I7" s="9"/>
    </row>
    <row r="8" spans="1:9" ht="23.25" customHeight="1">
      <c r="A8" s="9" t="s">
        <v>120</v>
      </c>
      <c r="B8" s="9" t="s">
        <v>13</v>
      </c>
      <c r="C8" s="9" t="s">
        <v>113</v>
      </c>
      <c r="D8" s="9" t="s">
        <v>91</v>
      </c>
      <c r="E8" s="9" t="s">
        <v>121</v>
      </c>
      <c r="F8" s="9" t="s">
        <v>115</v>
      </c>
      <c r="G8" s="9" t="s">
        <v>116</v>
      </c>
      <c r="H8" s="9" t="s">
        <v>111</v>
      </c>
      <c r="I8" s="9"/>
    </row>
    <row r="9" spans="1:9" ht="23.25" customHeight="1">
      <c r="A9" s="9" t="s">
        <v>122</v>
      </c>
      <c r="B9" s="9" t="s">
        <v>25</v>
      </c>
      <c r="C9" s="9" t="s">
        <v>123</v>
      </c>
      <c r="D9" s="9" t="s">
        <v>124</v>
      </c>
      <c r="E9" s="9" t="s">
        <v>125</v>
      </c>
      <c r="F9" s="9" t="s">
        <v>109</v>
      </c>
      <c r="G9" s="9" t="s">
        <v>116</v>
      </c>
      <c r="H9" s="9" t="s">
        <v>111</v>
      </c>
      <c r="I9" s="9"/>
    </row>
    <row r="10" spans="1:9" ht="15" customHeight="1">
      <c r="A10" s="9"/>
      <c r="B10" s="9"/>
      <c r="C10" s="9"/>
      <c r="D10" s="9"/>
      <c r="E10" s="9"/>
      <c r="F10" s="9"/>
      <c r="G10" s="9"/>
      <c r="H10" s="9"/>
      <c r="I10" s="9"/>
    </row>
    <row r="11" spans="1:9" ht="15" customHeight="1">
      <c r="A11" s="9"/>
      <c r="B11" s="9"/>
      <c r="C11" s="9"/>
      <c r="D11" s="9"/>
      <c r="E11" s="9"/>
      <c r="F11" s="9"/>
      <c r="G11" s="9"/>
      <c r="H11" s="9"/>
      <c r="I11" s="9"/>
    </row>
    <row r="12" spans="1:9" ht="15" customHeight="1">
      <c r="A12" s="9"/>
      <c r="B12" s="9"/>
      <c r="C12" s="9"/>
      <c r="D12" s="9"/>
      <c r="E12" s="9"/>
      <c r="F12" s="9"/>
      <c r="G12" s="9"/>
      <c r="H12" s="9"/>
      <c r="I12" s="9"/>
    </row>
    <row r="13" spans="1:9" ht="15" customHeight="1">
      <c r="A13" s="9"/>
      <c r="B13" s="9"/>
      <c r="C13" s="9"/>
      <c r="D13" s="9"/>
      <c r="E13" s="9"/>
      <c r="F13" s="9"/>
      <c r="G13" s="9"/>
      <c r="H13" s="9"/>
      <c r="I13" s="9"/>
    </row>
    <row r="14" spans="1:9" ht="15" customHeight="1">
      <c r="A14" s="9"/>
      <c r="B14" s="9"/>
      <c r="C14" s="9"/>
      <c r="D14" s="9"/>
      <c r="E14" s="9"/>
      <c r="F14" s="9"/>
      <c r="G14" s="9"/>
      <c r="H14" s="9"/>
      <c r="I14" s="9"/>
    </row>
    <row r="15" spans="1:9" ht="15" customHeight="1">
      <c r="A15" s="9"/>
      <c r="B15" s="9"/>
      <c r="C15" s="9"/>
      <c r="D15" s="9"/>
      <c r="E15" s="9"/>
      <c r="F15" s="9"/>
      <c r="G15" s="9"/>
      <c r="H15" s="9"/>
      <c r="I15" s="9"/>
    </row>
    <row r="16" spans="1:9" ht="15" customHeight="1">
      <c r="A16" s="9"/>
      <c r="B16" s="9"/>
      <c r="C16" s="9"/>
      <c r="D16" s="9"/>
      <c r="E16" s="9"/>
      <c r="F16" s="9"/>
      <c r="G16" s="9"/>
      <c r="H16" s="9"/>
      <c r="I16" s="9"/>
    </row>
    <row r="17" spans="1:9" ht="15" customHeight="1">
      <c r="A17" s="9"/>
      <c r="B17" s="9"/>
      <c r="C17" s="9"/>
      <c r="D17" s="9"/>
      <c r="E17" s="9"/>
      <c r="F17" s="9"/>
      <c r="G17" s="9"/>
      <c r="H17" s="9"/>
      <c r="I17" s="9"/>
    </row>
    <row r="18" spans="1:9" ht="15" customHeight="1">
      <c r="A18" s="9"/>
      <c r="B18" s="9"/>
      <c r="C18" s="9"/>
      <c r="D18" s="9"/>
      <c r="E18" s="9"/>
      <c r="F18" s="9"/>
      <c r="G18" s="9"/>
      <c r="H18" s="9"/>
      <c r="I18" s="9"/>
    </row>
    <row r="19" spans="1:9" ht="15" customHeight="1">
      <c r="A19" s="9"/>
      <c r="B19" s="9"/>
      <c r="C19" s="9"/>
      <c r="D19" s="9"/>
      <c r="E19" s="9"/>
      <c r="F19" s="9"/>
      <c r="G19" s="9"/>
      <c r="H19" s="9"/>
      <c r="I19" s="9"/>
    </row>
    <row r="20" spans="1:9" ht="15" customHeight="1">
      <c r="A20" s="9"/>
      <c r="B20" s="9"/>
      <c r="C20" s="9"/>
      <c r="D20" s="9"/>
      <c r="E20" s="9"/>
      <c r="F20" s="9"/>
      <c r="G20" s="9"/>
      <c r="H20" s="9"/>
      <c r="I20" s="9"/>
    </row>
    <row r="21" spans="1:9" ht="15" customHeight="1">
      <c r="A21" s="9"/>
      <c r="B21" s="9"/>
      <c r="C21" s="9"/>
      <c r="D21" s="9"/>
      <c r="E21" s="9"/>
      <c r="F21" s="9"/>
      <c r="G21" s="9"/>
      <c r="H21" s="9"/>
      <c r="I21" s="9"/>
    </row>
    <row r="22" spans="1:9" ht="15" customHeight="1">
      <c r="A22" s="9"/>
      <c r="B22" s="9"/>
      <c r="C22" s="9"/>
      <c r="D22" s="9"/>
      <c r="E22" s="9"/>
      <c r="F22" s="9"/>
      <c r="G22" s="9"/>
      <c r="H22" s="9"/>
      <c r="I22" s="9"/>
    </row>
    <row r="23" spans="1:9" ht="15" customHeight="1">
      <c r="A23" s="9"/>
      <c r="B23" s="9"/>
      <c r="C23" s="9"/>
      <c r="D23" s="9"/>
      <c r="E23" s="9"/>
      <c r="F23" s="9"/>
      <c r="G23" s="9"/>
      <c r="H23" s="9"/>
      <c r="I23" s="9"/>
    </row>
    <row r="24" spans="1:9" ht="15" customHeight="1">
      <c r="A24" s="9"/>
      <c r="B24" s="9"/>
      <c r="C24" s="9"/>
      <c r="D24" s="9"/>
      <c r="E24" s="9"/>
      <c r="F24" s="9"/>
      <c r="G24" s="9"/>
      <c r="H24" s="9"/>
      <c r="I24" s="9"/>
    </row>
    <row r="25" spans="1:9" ht="15" customHeight="1">
      <c r="A25" s="9"/>
      <c r="B25" s="9"/>
      <c r="C25" s="9"/>
      <c r="D25" s="9"/>
      <c r="E25" s="9"/>
      <c r="F25" s="9"/>
      <c r="G25" s="9"/>
      <c r="H25" s="9"/>
      <c r="I25" s="9"/>
    </row>
    <row r="26" spans="1:9" ht="15" customHeight="1">
      <c r="A26" s="9"/>
      <c r="B26" s="9"/>
      <c r="C26" s="9"/>
      <c r="D26" s="9"/>
      <c r="E26" s="9"/>
      <c r="F26" s="9"/>
      <c r="G26" s="9"/>
      <c r="H26" s="9"/>
      <c r="I26" s="9"/>
    </row>
    <row r="27" spans="1:9" ht="15" customHeight="1">
      <c r="A27" s="9"/>
      <c r="B27" s="9"/>
      <c r="C27" s="9"/>
      <c r="D27" s="9"/>
      <c r="E27" s="9"/>
      <c r="F27" s="9"/>
      <c r="G27" s="9"/>
      <c r="H27" s="9"/>
      <c r="I27" s="9"/>
    </row>
    <row r="28" spans="1:9" ht="1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5" customHeight="1">
      <c r="A53" s="9"/>
      <c r="B53" s="9"/>
      <c r="C53" s="9"/>
      <c r="D53" s="9"/>
      <c r="E53" s="9"/>
      <c r="F53" s="9"/>
      <c r="G53" s="9"/>
      <c r="H53" s="9"/>
      <c r="I53" s="9"/>
    </row>
    <row r="54" spans="1:9" ht="15" customHeight="1">
      <c r="A54" s="9"/>
      <c r="B54" s="9"/>
      <c r="C54" s="9"/>
      <c r="D54" s="9"/>
      <c r="E54" s="9"/>
      <c r="F54" s="9"/>
      <c r="G54" s="9"/>
      <c r="H54" s="9"/>
      <c r="I54" s="9"/>
    </row>
    <row r="55" spans="1:9" ht="15" customHeight="1">
      <c r="A55" s="9"/>
      <c r="B55" s="9"/>
      <c r="C55" s="9"/>
      <c r="D55" s="9"/>
      <c r="E55" s="9"/>
      <c r="F55" s="9"/>
      <c r="G55" s="9"/>
      <c r="H55" s="9"/>
      <c r="I55" s="9"/>
    </row>
    <row r="56" spans="1:9" ht="15" customHeight="1">
      <c r="A56" s="9"/>
      <c r="B56" s="9"/>
      <c r="C56" s="9"/>
      <c r="D56" s="9"/>
      <c r="E56" s="9"/>
      <c r="F56" s="9"/>
      <c r="G56" s="9"/>
      <c r="H56" s="9"/>
      <c r="I56" s="9"/>
    </row>
    <row r="57" spans="1:9" ht="15" customHeight="1">
      <c r="A57" s="9"/>
      <c r="B57" s="9"/>
      <c r="C57" s="9"/>
      <c r="D57" s="9"/>
      <c r="E57" s="9"/>
      <c r="F57" s="9"/>
      <c r="G57" s="9"/>
      <c r="H57" s="9"/>
      <c r="I57" s="9"/>
    </row>
    <row r="58" spans="1:9" ht="15" customHeight="1">
      <c r="A58" s="9"/>
      <c r="B58" s="9"/>
      <c r="C58" s="9"/>
      <c r="D58" s="9"/>
      <c r="E58" s="9"/>
      <c r="F58" s="9"/>
      <c r="G58" s="9"/>
      <c r="H58" s="9"/>
      <c r="I58" s="9"/>
    </row>
    <row r="59" spans="1:9" ht="15" customHeight="1">
      <c r="A59" s="9"/>
      <c r="B59" s="9"/>
      <c r="C59" s="9"/>
      <c r="D59" s="9"/>
      <c r="E59" s="9"/>
      <c r="F59" s="9"/>
      <c r="G59" s="9"/>
      <c r="H59" s="9"/>
      <c r="I59" s="9"/>
    </row>
    <row r="60" spans="1:9" ht="15" customHeight="1">
      <c r="A60" s="9"/>
      <c r="B60" s="9"/>
      <c r="C60" s="9"/>
      <c r="D60" s="9"/>
      <c r="E60" s="9"/>
      <c r="F60" s="9"/>
      <c r="G60" s="9"/>
      <c r="H60" s="9"/>
      <c r="I60" s="9"/>
    </row>
    <row r="61" spans="1:9" ht="15" customHeight="1">
      <c r="A61" s="9"/>
      <c r="B61" s="9"/>
      <c r="C61" s="9"/>
      <c r="D61" s="9"/>
      <c r="E61" s="9"/>
      <c r="F61" s="9"/>
      <c r="G61" s="9"/>
      <c r="H61" s="9"/>
      <c r="I61" s="9"/>
    </row>
    <row r="62" spans="1:9" ht="15" customHeight="1">
      <c r="A62" s="9"/>
      <c r="B62" s="9"/>
      <c r="C62" s="9"/>
      <c r="D62" s="9"/>
      <c r="E62" s="9"/>
      <c r="F62" s="9"/>
      <c r="G62" s="9"/>
      <c r="H62" s="9"/>
      <c r="I62" s="9"/>
    </row>
    <row r="63" spans="1:9" ht="15" customHeight="1">
      <c r="A63" s="9"/>
      <c r="B63" s="9"/>
      <c r="C63" s="9"/>
      <c r="D63" s="9"/>
      <c r="E63" s="9"/>
      <c r="F63" s="9"/>
      <c r="G63" s="9"/>
      <c r="H63" s="9"/>
      <c r="I63" s="9"/>
    </row>
    <row r="64" spans="1:9" ht="15" customHeight="1">
      <c r="A64" s="9"/>
      <c r="B64" s="9"/>
      <c r="C64" s="9"/>
      <c r="D64" s="9"/>
      <c r="E64" s="9"/>
      <c r="F64" s="9"/>
      <c r="G64" s="9"/>
      <c r="H64" s="9"/>
      <c r="I64" s="9"/>
    </row>
    <row r="65" spans="1:9" ht="15" customHeight="1">
      <c r="A65" s="9"/>
      <c r="B65" s="9"/>
      <c r="C65" s="9"/>
      <c r="D65" s="9"/>
      <c r="E65" s="9"/>
      <c r="F65" s="9"/>
      <c r="G65" s="9"/>
      <c r="H65" s="9"/>
      <c r="I65" s="9"/>
    </row>
    <row r="66" spans="1:9" ht="15" customHeight="1">
      <c r="A66" s="9"/>
      <c r="B66" s="9"/>
      <c r="C66" s="9"/>
      <c r="D66" s="9"/>
      <c r="E66" s="9"/>
      <c r="F66" s="9"/>
      <c r="G66" s="9"/>
      <c r="H66" s="9"/>
      <c r="I66" s="9"/>
    </row>
    <row r="67" spans="1:9" ht="15" customHeight="1">
      <c r="A67" s="9"/>
      <c r="B67" s="9"/>
      <c r="C67" s="9"/>
      <c r="D67" s="9"/>
      <c r="E67" s="9"/>
      <c r="F67" s="9"/>
      <c r="G67" s="9"/>
      <c r="H67" s="9"/>
      <c r="I67" s="9"/>
    </row>
    <row r="68" spans="1:9" ht="15" customHeight="1">
      <c r="A68" s="9"/>
      <c r="B68" s="9"/>
      <c r="C68" s="9"/>
      <c r="D68" s="9"/>
      <c r="E68" s="9"/>
      <c r="F68" s="9"/>
      <c r="G68" s="9"/>
      <c r="H68" s="9"/>
      <c r="I68" s="9"/>
    </row>
    <row r="69" spans="1:9" ht="15" customHeight="1">
      <c r="A69" s="9"/>
      <c r="B69" s="9"/>
      <c r="C69" s="9"/>
      <c r="D69" s="9"/>
      <c r="E69" s="9"/>
      <c r="F69" s="9"/>
      <c r="G69" s="9"/>
      <c r="H69" s="9"/>
      <c r="I69" s="9"/>
    </row>
    <row r="70" spans="1:9" ht="15" customHeight="1">
      <c r="A70" s="9"/>
      <c r="B70" s="9"/>
      <c r="C70" s="9"/>
      <c r="D70" s="9"/>
      <c r="E70" s="9"/>
      <c r="F70" s="9"/>
      <c r="G70" s="9"/>
      <c r="H70" s="9"/>
      <c r="I70" s="9"/>
    </row>
    <row r="71" spans="1:9" ht="15" customHeight="1">
      <c r="A71" s="9"/>
      <c r="B71" s="9"/>
      <c r="C71" s="9"/>
      <c r="D71" s="9"/>
      <c r="E71" s="9"/>
      <c r="F71" s="9"/>
      <c r="G71" s="9"/>
      <c r="H71" s="9"/>
      <c r="I71" s="9"/>
    </row>
    <row r="72" spans="1:9" ht="15" customHeight="1">
      <c r="A72" s="9"/>
      <c r="B72" s="9"/>
      <c r="C72" s="9"/>
      <c r="D72" s="9"/>
      <c r="E72" s="9"/>
      <c r="F72" s="9"/>
      <c r="G72" s="9"/>
      <c r="H72" s="9"/>
      <c r="I72" s="9"/>
    </row>
    <row r="73" spans="1:9" ht="15" customHeight="1">
      <c r="A73" s="9"/>
      <c r="B73" s="9"/>
      <c r="C73" s="9"/>
      <c r="D73" s="9"/>
      <c r="E73" s="9"/>
      <c r="F73" s="9"/>
      <c r="G73" s="9"/>
      <c r="H73" s="9"/>
      <c r="I73" s="9"/>
    </row>
    <row r="74" spans="1:9" ht="15" customHeight="1">
      <c r="A74" s="9"/>
      <c r="B74" s="9"/>
      <c r="C74" s="9"/>
      <c r="D74" s="9"/>
      <c r="E74" s="9"/>
      <c r="F74" s="9"/>
      <c r="G74" s="9"/>
      <c r="H74" s="9"/>
      <c r="I74" s="9"/>
    </row>
    <row r="75" spans="1:9" ht="15" customHeight="1">
      <c r="A75" s="9"/>
      <c r="B75" s="9"/>
      <c r="C75" s="9"/>
      <c r="D75" s="9"/>
      <c r="E75" s="9"/>
      <c r="F75" s="9"/>
      <c r="G75" s="9"/>
      <c r="H75" s="9"/>
      <c r="I75" s="9"/>
    </row>
    <row r="76" spans="1:9" ht="15" customHeight="1">
      <c r="A76" s="9"/>
      <c r="B76" s="9"/>
      <c r="C76" s="9"/>
      <c r="D76" s="9"/>
      <c r="E76" s="9"/>
      <c r="F76" s="9"/>
      <c r="G76" s="9"/>
      <c r="H76" s="9"/>
      <c r="I76" s="9"/>
    </row>
    <row r="77" spans="1:9" ht="15" customHeight="1">
      <c r="A77" s="9"/>
      <c r="B77" s="9"/>
      <c r="C77" s="9"/>
      <c r="D77" s="9"/>
      <c r="E77" s="9"/>
      <c r="F77" s="9"/>
      <c r="G77" s="9"/>
      <c r="H77" s="9"/>
      <c r="I77" s="9"/>
    </row>
    <row r="78" spans="1:9" ht="15" customHeight="1">
      <c r="A78" s="9"/>
      <c r="B78" s="9"/>
      <c r="C78" s="9"/>
      <c r="D78" s="9"/>
      <c r="E78" s="9"/>
      <c r="F78" s="9"/>
      <c r="G78" s="9"/>
      <c r="H78" s="9"/>
      <c r="I78" s="9"/>
    </row>
    <row r="79" spans="1:9" ht="15" customHeight="1">
      <c r="A79" s="9"/>
      <c r="B79" s="9"/>
      <c r="C79" s="9"/>
      <c r="D79" s="9"/>
      <c r="E79" s="9"/>
      <c r="F79" s="9"/>
      <c r="G79" s="9"/>
      <c r="H79" s="9"/>
      <c r="I79" s="9"/>
    </row>
    <row r="80" spans="1:9" ht="15" customHeight="1">
      <c r="A80" s="9"/>
      <c r="B80" s="9"/>
      <c r="C80" s="9"/>
      <c r="D80" s="9"/>
      <c r="E80" s="9"/>
      <c r="F80" s="9"/>
      <c r="G80" s="9"/>
      <c r="H80" s="9"/>
      <c r="I80" s="9"/>
    </row>
    <row r="81" spans="1:9" ht="15" customHeight="1">
      <c r="A81" s="9"/>
      <c r="B81" s="9"/>
      <c r="C81" s="9"/>
      <c r="D81" s="9"/>
      <c r="E81" s="9"/>
      <c r="F81" s="9"/>
      <c r="G81" s="9"/>
      <c r="H81" s="9"/>
      <c r="I81" s="9"/>
    </row>
    <row r="82" spans="1:9" ht="15" customHeight="1">
      <c r="A82" s="9"/>
      <c r="B82" s="9"/>
      <c r="C82" s="9"/>
      <c r="D82" s="9"/>
      <c r="E82" s="9"/>
      <c r="F82" s="9"/>
      <c r="G82" s="9"/>
      <c r="H82" s="9"/>
      <c r="I82" s="9"/>
    </row>
    <row r="83" spans="1:9" ht="15" customHeight="1">
      <c r="A83" s="9"/>
      <c r="B83" s="9"/>
      <c r="C83" s="9"/>
      <c r="D83" s="9"/>
      <c r="E83" s="9"/>
      <c r="F83" s="9"/>
      <c r="G83" s="9"/>
      <c r="H83" s="9"/>
      <c r="I83" s="9"/>
    </row>
    <row r="84" spans="1:9" ht="15" customHeight="1">
      <c r="A84" s="9"/>
      <c r="B84" s="9"/>
      <c r="C84" s="9"/>
      <c r="D84" s="9"/>
      <c r="E84" s="9"/>
      <c r="F84" s="9"/>
      <c r="G84" s="9"/>
      <c r="H84" s="9"/>
      <c r="I84" s="9"/>
    </row>
    <row r="85" spans="1:9" ht="15" customHeight="1">
      <c r="A85" s="9"/>
      <c r="B85" s="9"/>
      <c r="C85" s="9"/>
      <c r="D85" s="9"/>
      <c r="E85" s="9"/>
      <c r="F85" s="9"/>
      <c r="G85" s="9"/>
      <c r="H85" s="9"/>
      <c r="I85" s="9"/>
    </row>
    <row r="86" spans="1:9" ht="15" customHeight="1">
      <c r="A86" s="9"/>
      <c r="B86" s="9"/>
      <c r="C86" s="9"/>
      <c r="D86" s="9"/>
      <c r="E86" s="9"/>
      <c r="F86" s="9"/>
      <c r="G86" s="9"/>
      <c r="H86" s="9"/>
      <c r="I86" s="9"/>
    </row>
    <row r="87" spans="1:9" ht="15" customHeight="1">
      <c r="A87" s="9"/>
      <c r="B87" s="9"/>
      <c r="C87" s="9"/>
      <c r="D87" s="9"/>
      <c r="E87" s="9"/>
      <c r="F87" s="9"/>
      <c r="G87" s="9"/>
      <c r="H87" s="9"/>
      <c r="I87" s="9"/>
    </row>
    <row r="88" spans="1:9" ht="15" customHeight="1">
      <c r="A88" s="9"/>
      <c r="B88" s="9"/>
      <c r="C88" s="9"/>
      <c r="D88" s="9"/>
      <c r="E88" s="9"/>
      <c r="F88" s="9"/>
      <c r="G88" s="9"/>
      <c r="H88" s="9"/>
      <c r="I88" s="9"/>
    </row>
    <row r="89" spans="1:9" ht="15" customHeight="1">
      <c r="A89" s="9"/>
      <c r="B89" s="9"/>
      <c r="C89" s="9"/>
      <c r="D89" s="9"/>
      <c r="E89" s="9"/>
      <c r="F89" s="9"/>
      <c r="G89" s="9"/>
      <c r="H89" s="9"/>
      <c r="I89" s="9"/>
    </row>
    <row r="90" spans="1:9" ht="15" customHeight="1">
      <c r="A90" s="9"/>
      <c r="B90" s="9"/>
      <c r="C90" s="9"/>
      <c r="D90" s="9"/>
      <c r="E90" s="9"/>
      <c r="F90" s="9"/>
      <c r="G90" s="9"/>
      <c r="H90" s="9"/>
      <c r="I90" s="9"/>
    </row>
    <row r="91" spans="1:9" ht="15" customHeight="1">
      <c r="A91" s="9"/>
      <c r="B91" s="9"/>
      <c r="C91" s="9"/>
      <c r="D91" s="9"/>
      <c r="E91" s="9"/>
      <c r="F91" s="9"/>
      <c r="G91" s="9"/>
      <c r="H91" s="9"/>
      <c r="I91" s="9"/>
    </row>
    <row r="92" spans="1:9" ht="15" customHeight="1">
      <c r="A92" s="9"/>
      <c r="B92" s="9"/>
      <c r="C92" s="9"/>
      <c r="D92" s="9"/>
      <c r="E92" s="9"/>
      <c r="F92" s="9"/>
      <c r="G92" s="9"/>
      <c r="H92" s="9"/>
      <c r="I92" s="9"/>
    </row>
    <row r="93" spans="1:9" ht="15" customHeight="1">
      <c r="A93" s="9"/>
      <c r="B93" s="9"/>
      <c r="C93" s="9"/>
      <c r="D93" s="9"/>
      <c r="E93" s="9"/>
      <c r="F93" s="9"/>
      <c r="G93" s="9"/>
      <c r="H93" s="9"/>
      <c r="I93" s="9"/>
    </row>
    <row r="94" spans="1:9" ht="15" customHeight="1">
      <c r="A94" s="9"/>
      <c r="B94" s="9"/>
      <c r="C94" s="9"/>
      <c r="D94" s="9"/>
      <c r="E94" s="9"/>
      <c r="F94" s="9"/>
      <c r="G94" s="9"/>
      <c r="H94" s="9"/>
      <c r="I94" s="9"/>
    </row>
    <row r="95" spans="1:9" ht="15" customHeight="1">
      <c r="A95" s="9"/>
      <c r="B95" s="9"/>
      <c r="C95" s="9"/>
      <c r="D95" s="9"/>
      <c r="E95" s="9"/>
      <c r="F95" s="9"/>
      <c r="G95" s="9"/>
      <c r="H95" s="9"/>
      <c r="I95" s="9"/>
    </row>
    <row r="96" spans="1:9" ht="15" customHeight="1">
      <c r="A96" s="9"/>
      <c r="B96" s="9"/>
      <c r="C96" s="9"/>
      <c r="D96" s="9"/>
      <c r="E96" s="9"/>
      <c r="F96" s="9"/>
      <c r="G96" s="9"/>
      <c r="H96" s="9"/>
      <c r="I96" s="9"/>
    </row>
    <row r="97" spans="1:9" ht="15" customHeight="1">
      <c r="A97" s="9"/>
      <c r="B97" s="9"/>
      <c r="C97" s="9"/>
      <c r="D97" s="9"/>
      <c r="E97" s="9"/>
      <c r="F97" s="9"/>
      <c r="G97" s="9"/>
      <c r="H97" s="9"/>
      <c r="I97" s="9"/>
    </row>
    <row r="98" spans="1:9" ht="15" customHeight="1">
      <c r="A98" s="9"/>
      <c r="B98" s="9"/>
      <c r="C98" s="9"/>
      <c r="D98" s="9"/>
      <c r="E98" s="9"/>
      <c r="F98" s="9"/>
      <c r="G98" s="9"/>
      <c r="H98" s="9"/>
      <c r="I98" s="9"/>
    </row>
    <row r="99" spans="1:9" ht="15" customHeight="1">
      <c r="A99" s="9"/>
      <c r="B99" s="9"/>
      <c r="C99" s="9"/>
      <c r="D99" s="9"/>
      <c r="E99" s="9"/>
      <c r="F99" s="9"/>
      <c r="G99" s="9"/>
      <c r="H99" s="9"/>
      <c r="I99" s="9"/>
    </row>
    <row r="100" spans="1:9" ht="15" customHeight="1">
      <c r="A100" s="9"/>
      <c r="B100" s="9"/>
      <c r="C100" s="9"/>
      <c r="D100" s="9"/>
      <c r="E100" s="9"/>
      <c r="F100" s="9"/>
      <c r="G100" s="9"/>
      <c r="H100" s="9"/>
      <c r="I100" s="9"/>
    </row>
    <row r="101" spans="1:9" ht="15" customHeight="1">
      <c r="A101" s="9"/>
      <c r="B101" s="9"/>
      <c r="C101" s="9"/>
      <c r="D101" s="9"/>
      <c r="E101" s="9"/>
      <c r="F101" s="9"/>
      <c r="G101" s="9"/>
      <c r="H101" s="9"/>
      <c r="I101" s="9"/>
    </row>
    <row r="102" spans="1:9" ht="15" customHeight="1">
      <c r="A102" s="9"/>
      <c r="B102" s="9"/>
      <c r="C102" s="9"/>
      <c r="D102" s="9"/>
      <c r="E102" s="9"/>
      <c r="F102" s="9"/>
      <c r="G102" s="9"/>
      <c r="H102" s="9"/>
      <c r="I102" s="9"/>
    </row>
    <row r="103" spans="1:9" ht="15" customHeight="1">
      <c r="A103" s="9"/>
      <c r="B103" s="9"/>
      <c r="C103" s="9"/>
      <c r="D103" s="9"/>
      <c r="E103" s="9"/>
      <c r="F103" s="9"/>
      <c r="G103" s="9"/>
      <c r="H103" s="9"/>
      <c r="I103" s="9"/>
    </row>
    <row r="104" spans="1:9" ht="15" customHeight="1">
      <c r="A104" s="9"/>
      <c r="B104" s="9"/>
      <c r="C104" s="9"/>
      <c r="D104" s="9"/>
      <c r="E104" s="9"/>
      <c r="F104" s="9"/>
      <c r="G104" s="9"/>
      <c r="H104" s="9"/>
      <c r="I104" s="9"/>
    </row>
    <row r="106" spans="1:9" ht="15" customHeight="1">
      <c r="A106" s="3" t="s">
        <v>40</v>
      </c>
      <c r="B106" s="3"/>
      <c r="C106" s="3"/>
      <c r="D106" s="3"/>
      <c r="E106" s="3"/>
      <c r="F106" s="3"/>
      <c r="G106" s="3"/>
      <c r="H106" s="3"/>
      <c r="I106" s="3"/>
    </row>
  </sheetData>
  <mergeCells count="3">
    <mergeCell ref="A1:I1"/>
    <mergeCell ref="A2:I2"/>
    <mergeCell ref="A106:I106"/>
  </mergeCells>
  <conditionalFormatting sqref="F5:F104">
    <cfRule type="expression" dxfId="8" priority="2">
      <formula>LEFT(F5,1)="🔴"</formula>
    </cfRule>
    <cfRule type="expression" dxfId="7" priority="3">
      <formula>LEFT(F5,1)="🟡"</formula>
    </cfRule>
  </conditionalFormatting>
  <conditionalFormatting sqref="H5:H104">
    <cfRule type="expression" dxfId="6" priority="4">
      <formula>H5="Closed"</formula>
    </cfRule>
  </conditionalFormatting>
  <dataValidations count="2">
    <dataValidation type="list" allowBlank="1" sqref="F5:F104">
      <formula1>"🔴 Critical - Review Required,🟡 Warning - Review,🟢 Resolved"</formula1>
      <formula2>0</formula2>
    </dataValidation>
    <dataValidation type="list" allowBlank="1" sqref="H5:H104">
      <formula1>"Open,Pending Revision,Closed"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&amp;C&amp;8 Samim Craft — Export Shipment Control Workbook (v4) | certcraft25@gmail.com | Free validation build — not for redistribution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Shipment_Master</vt:lpstr>
      <vt:lpstr>Doc_Checklist</vt:lpstr>
      <vt:lpstr>Logistics_Log</vt:lpstr>
      <vt:lpstr>Manual_Check</vt:lpstr>
      <vt:lpstr>Exception_Log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samim</dc:creator>
  <dc:description/>
  <cp:lastModifiedBy>peopl</cp:lastModifiedBy>
  <cp:revision>0</cp:revision>
  <dcterms:created xsi:type="dcterms:W3CDTF">2026-08-14T09:28:47Z</dcterms:created>
  <dcterms:modified xsi:type="dcterms:W3CDTF">2026-09-06T08:25:30Z</dcterms:modified>
  <dc:language>en-US</dc:language>
</cp:coreProperties>
</file>